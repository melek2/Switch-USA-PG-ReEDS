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ek/Documents/GitHub/Switch-USA-PG-ReEDS/regions/"/>
    </mc:Choice>
  </mc:AlternateContent>
  <xr:revisionPtr revIDLastSave="0" documentId="13_ncr:1_{C0A2A75D-C0C8-D545-838B-82E65294EDCF}" xr6:coauthVersionLast="47" xr6:coauthVersionMax="47" xr10:uidLastSave="{00000000-0000-0000-0000-000000000000}"/>
  <bookViews>
    <workbookView xWindow="0" yWindow="0" windowWidth="28800" windowHeight="18000" activeTab="1" xr2:uid="{34F0B409-DBEE-0442-BCDF-0DA958119CAA}"/>
  </bookViews>
  <sheets>
    <sheet name="Hierarchy" sheetId="1" r:id="rId1"/>
    <sheet name="Sheet2" sheetId="3" r:id="rId2"/>
    <sheet name="Sheet1" sheetId="2" r:id="rId3"/>
  </sheets>
  <definedNames>
    <definedName name="_xlnm._FilterDatabase" localSheetId="0" hidden="1">Hierarchy!$A$1:$O$135</definedName>
    <definedName name="_xlnm._FilterDatabase" localSheetId="2" hidden="1">Sheet1!$A$1:$C$135</definedName>
    <definedName name="_xlnm._FilterDatabase" localSheetId="1" hidden="1">Sheet2!$A$1:$S$47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2" i="3"/>
  <c r="D43" i="3" a="1"/>
  <c r="D43" i="3" s="1"/>
  <c r="E43" i="3" a="1"/>
  <c r="E43" i="3" s="1"/>
  <c r="F43" i="3" a="1"/>
  <c r="F43" i="3" s="1"/>
  <c r="G43" i="3" a="1"/>
  <c r="G43" i="3" s="1"/>
  <c r="H43" i="3" a="1"/>
  <c r="H43" i="3" s="1"/>
  <c r="I43" i="3" a="1"/>
  <c r="I43" i="3" s="1"/>
  <c r="J43" i="3" a="1"/>
  <c r="J43" i="3" s="1"/>
  <c r="K43" i="3" a="1"/>
  <c r="K43" i="3" s="1"/>
  <c r="L43" i="3" a="1"/>
  <c r="L43" i="3" s="1"/>
  <c r="M43" i="3" a="1"/>
  <c r="M43" i="3" s="1"/>
  <c r="N43" i="3" a="1"/>
  <c r="N43" i="3" s="1"/>
  <c r="O43" i="3" a="1"/>
  <c r="O43" i="3" s="1"/>
  <c r="P43" i="3" a="1"/>
  <c r="P43" i="3" s="1"/>
  <c r="Q43" i="3" a="1"/>
  <c r="Q43" i="3" s="1"/>
  <c r="R43" i="3" a="1"/>
  <c r="R43" i="3" s="1"/>
  <c r="S43" i="3" a="1"/>
  <c r="S43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M17" i="3" a="1"/>
  <c r="M17" i="3" s="1"/>
  <c r="N17" i="3" a="1"/>
  <c r="N17" i="3" s="1"/>
  <c r="O17" i="3" a="1"/>
  <c r="O17" i="3" s="1"/>
  <c r="P17" i="3" a="1"/>
  <c r="P17" i="3" s="1"/>
  <c r="Q17" i="3" a="1"/>
  <c r="Q17" i="3" s="1"/>
  <c r="R17" i="3" a="1"/>
  <c r="R17" i="3" s="1"/>
  <c r="S17" i="3" a="1"/>
  <c r="S17" i="3" s="1"/>
  <c r="D33" i="3" a="1"/>
  <c r="D33" i="3" s="1"/>
  <c r="E33" i="3" a="1"/>
  <c r="E33" i="3" s="1"/>
  <c r="F33" i="3" a="1"/>
  <c r="F33" i="3" s="1"/>
  <c r="G33" i="3" a="1"/>
  <c r="G33" i="3" s="1"/>
  <c r="H33" i="3" a="1"/>
  <c r="H33" i="3" s="1"/>
  <c r="I33" i="3" a="1"/>
  <c r="I33" i="3" s="1"/>
  <c r="J33" i="3" a="1"/>
  <c r="J33" i="3" s="1"/>
  <c r="K33" i="3" a="1"/>
  <c r="K33" i="3" s="1"/>
  <c r="L33" i="3" a="1"/>
  <c r="L33" i="3" s="1"/>
  <c r="M33" i="3" a="1"/>
  <c r="M33" i="3" s="1"/>
  <c r="N33" i="3" a="1"/>
  <c r="N33" i="3" s="1"/>
  <c r="O33" i="3" a="1"/>
  <c r="O33" i="3" s="1"/>
  <c r="P33" i="3" a="1"/>
  <c r="P33" i="3" s="1"/>
  <c r="Q33" i="3" a="1"/>
  <c r="Q33" i="3" s="1"/>
  <c r="R33" i="3" a="1"/>
  <c r="R33" i="3" s="1"/>
  <c r="S33" i="3" a="1"/>
  <c r="S33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N20" i="3" a="1"/>
  <c r="N20" i="3" s="1"/>
  <c r="O20" i="3" a="1"/>
  <c r="O20" i="3" s="1"/>
  <c r="P20" i="3" a="1"/>
  <c r="P20" i="3" s="1"/>
  <c r="Q20" i="3" a="1"/>
  <c r="Q20" i="3" s="1"/>
  <c r="R20" i="3" a="1"/>
  <c r="R20" i="3" s="1"/>
  <c r="S20" i="3" a="1"/>
  <c r="S20" i="3" s="1"/>
  <c r="D44" i="3" a="1"/>
  <c r="D44" i="3" s="1"/>
  <c r="E44" i="3" a="1"/>
  <c r="E44" i="3" s="1"/>
  <c r="F44" i="3" a="1"/>
  <c r="F44" i="3" s="1"/>
  <c r="G44" i="3" a="1"/>
  <c r="G44" i="3" s="1"/>
  <c r="H44" i="3" a="1"/>
  <c r="H44" i="3" s="1"/>
  <c r="I44" i="3" a="1"/>
  <c r="I44" i="3" s="1"/>
  <c r="J44" i="3" a="1"/>
  <c r="J44" i="3" s="1"/>
  <c r="K44" i="3" a="1"/>
  <c r="K44" i="3" s="1"/>
  <c r="L44" i="3" a="1"/>
  <c r="L44" i="3" s="1"/>
  <c r="M44" i="3" a="1"/>
  <c r="M44" i="3" s="1"/>
  <c r="N44" i="3" a="1"/>
  <c r="N44" i="3" s="1"/>
  <c r="O44" i="3" a="1"/>
  <c r="O44" i="3" s="1"/>
  <c r="P44" i="3" a="1"/>
  <c r="P44" i="3" s="1"/>
  <c r="Q44" i="3" a="1"/>
  <c r="Q44" i="3" s="1"/>
  <c r="R44" i="3" a="1"/>
  <c r="R44" i="3" s="1"/>
  <c r="S44" i="3" a="1"/>
  <c r="S44" i="3" s="1"/>
  <c r="D38" i="3" a="1"/>
  <c r="D38" i="3" s="1"/>
  <c r="E38" i="3" a="1"/>
  <c r="E38" i="3" s="1"/>
  <c r="F38" i="3" a="1"/>
  <c r="F38" i="3" s="1"/>
  <c r="G38" i="3" a="1"/>
  <c r="G38" i="3" s="1"/>
  <c r="H38" i="3" a="1"/>
  <c r="H38" i="3" s="1"/>
  <c r="I38" i="3" a="1"/>
  <c r="I38" i="3" s="1"/>
  <c r="J38" i="3" a="1"/>
  <c r="J38" i="3" s="1"/>
  <c r="K38" i="3" a="1"/>
  <c r="K38" i="3" s="1"/>
  <c r="L38" i="3" a="1"/>
  <c r="L38" i="3" s="1"/>
  <c r="M38" i="3" a="1"/>
  <c r="M38" i="3" s="1"/>
  <c r="N38" i="3" a="1"/>
  <c r="N38" i="3" s="1"/>
  <c r="O38" i="3" a="1"/>
  <c r="O38" i="3" s="1"/>
  <c r="P38" i="3" a="1"/>
  <c r="P38" i="3" s="1"/>
  <c r="Q38" i="3" a="1"/>
  <c r="Q38" i="3" s="1"/>
  <c r="R38" i="3" a="1"/>
  <c r="R38" i="3" s="1"/>
  <c r="S38" i="3" a="1"/>
  <c r="S38" i="3" s="1"/>
  <c r="D46" i="3" a="1"/>
  <c r="D46" i="3" s="1"/>
  <c r="E46" i="3" a="1"/>
  <c r="E46" i="3" s="1"/>
  <c r="F46" i="3" a="1"/>
  <c r="F46" i="3" s="1"/>
  <c r="G46" i="3" a="1"/>
  <c r="G46" i="3" s="1"/>
  <c r="H46" i="3" a="1"/>
  <c r="H46" i="3" s="1"/>
  <c r="I46" i="3" a="1"/>
  <c r="I46" i="3" s="1"/>
  <c r="J46" i="3" a="1"/>
  <c r="J46" i="3" s="1"/>
  <c r="K46" i="3" a="1"/>
  <c r="K46" i="3" s="1"/>
  <c r="L46" i="3" a="1"/>
  <c r="L46" i="3" s="1"/>
  <c r="M46" i="3" a="1"/>
  <c r="M46" i="3" s="1"/>
  <c r="N46" i="3" a="1"/>
  <c r="N46" i="3" s="1"/>
  <c r="O46" i="3" a="1"/>
  <c r="O46" i="3" s="1"/>
  <c r="P46" i="3" a="1"/>
  <c r="P46" i="3" s="1"/>
  <c r="Q46" i="3" a="1"/>
  <c r="Q46" i="3" s="1"/>
  <c r="R46" i="3" a="1"/>
  <c r="R46" i="3" s="1"/>
  <c r="S46" i="3" a="1"/>
  <c r="S46" i="3" s="1"/>
  <c r="D27" i="3" a="1"/>
  <c r="D27" i="3" s="1"/>
  <c r="E27" i="3" a="1"/>
  <c r="E27" i="3" s="1"/>
  <c r="F27" i="3" a="1"/>
  <c r="F27" i="3" s="1"/>
  <c r="G27" i="3" a="1"/>
  <c r="G27" i="3" s="1"/>
  <c r="H27" i="3" a="1"/>
  <c r="H27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 s="1"/>
  <c r="O27" i="3" a="1"/>
  <c r="O27" i="3" s="1"/>
  <c r="P27" i="3" a="1"/>
  <c r="P27" i="3" s="1"/>
  <c r="Q27" i="3" a="1"/>
  <c r="Q27" i="3" s="1"/>
  <c r="R27" i="3" a="1"/>
  <c r="R27" i="3" s="1"/>
  <c r="S27" i="3" a="1"/>
  <c r="S27" i="3" s="1"/>
  <c r="D39" i="3" a="1"/>
  <c r="D39" i="3" s="1"/>
  <c r="E39" i="3" a="1"/>
  <c r="E39" i="3" s="1"/>
  <c r="F39" i="3" a="1"/>
  <c r="F39" i="3" s="1"/>
  <c r="G39" i="3" a="1"/>
  <c r="G39" i="3" s="1"/>
  <c r="H39" i="3" a="1"/>
  <c r="H39" i="3" s="1"/>
  <c r="I39" i="3" a="1"/>
  <c r="I39" i="3" s="1"/>
  <c r="J39" i="3" a="1"/>
  <c r="J39" i="3" s="1"/>
  <c r="K39" i="3" a="1"/>
  <c r="K39" i="3" s="1"/>
  <c r="L39" i="3" a="1"/>
  <c r="L39" i="3" s="1"/>
  <c r="M39" i="3" a="1"/>
  <c r="M39" i="3" s="1"/>
  <c r="N39" i="3" a="1"/>
  <c r="N39" i="3" s="1"/>
  <c r="O39" i="3" a="1"/>
  <c r="O39" i="3" s="1"/>
  <c r="P39" i="3" a="1"/>
  <c r="P39" i="3" s="1"/>
  <c r="Q39" i="3" a="1"/>
  <c r="Q39" i="3" s="1"/>
  <c r="R39" i="3" a="1"/>
  <c r="R39" i="3" s="1"/>
  <c r="S39" i="3" a="1"/>
  <c r="S39" i="3" s="1"/>
  <c r="D26" i="3" a="1"/>
  <c r="D26" i="3"/>
  <c r="E26" i="3" a="1"/>
  <c r="E26" i="3" s="1"/>
  <c r="F26" i="3" a="1"/>
  <c r="F26" i="3" s="1"/>
  <c r="G26" i="3" a="1"/>
  <c r="G26" i="3" s="1"/>
  <c r="H26" i="3" a="1"/>
  <c r="H26" i="3" s="1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 s="1"/>
  <c r="O26" i="3" a="1"/>
  <c r="O26" i="3" s="1"/>
  <c r="P26" i="3" a="1"/>
  <c r="P26" i="3" s="1"/>
  <c r="Q26" i="3" a="1"/>
  <c r="Q26" i="3" s="1"/>
  <c r="R26" i="3" a="1"/>
  <c r="R26" i="3" s="1"/>
  <c r="S26" i="3" a="1"/>
  <c r="S26" i="3" s="1"/>
  <c r="D41" i="3" a="1"/>
  <c r="D41" i="3" s="1"/>
  <c r="E41" i="3" a="1"/>
  <c r="E41" i="3" s="1"/>
  <c r="F41" i="3" a="1"/>
  <c r="F41" i="3" s="1"/>
  <c r="G41" i="3" a="1"/>
  <c r="G41" i="3" s="1"/>
  <c r="H41" i="3" a="1"/>
  <c r="H41" i="3" s="1"/>
  <c r="I41" i="3" a="1"/>
  <c r="I41" i="3" s="1"/>
  <c r="J41" i="3" a="1"/>
  <c r="J41" i="3" s="1"/>
  <c r="K41" i="3" a="1"/>
  <c r="K41" i="3" s="1"/>
  <c r="L41" i="3" a="1"/>
  <c r="L41" i="3" s="1"/>
  <c r="M41" i="3" a="1"/>
  <c r="M41" i="3" s="1"/>
  <c r="N41" i="3" a="1"/>
  <c r="N41" i="3" s="1"/>
  <c r="O41" i="3" a="1"/>
  <c r="O41" i="3" s="1"/>
  <c r="P41" i="3" a="1"/>
  <c r="P41" i="3" s="1"/>
  <c r="Q41" i="3" a="1"/>
  <c r="Q41" i="3" s="1"/>
  <c r="R41" i="3" a="1"/>
  <c r="R41" i="3" s="1"/>
  <c r="S41" i="3" a="1"/>
  <c r="S41" i="3" s="1"/>
  <c r="E13" i="3" a="1"/>
  <c r="E13" i="3" s="1"/>
  <c r="D25" i="3" a="1"/>
  <c r="D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D10" i="3" a="1"/>
  <c r="D10" i="3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D32" i="3" a="1"/>
  <c r="D32" i="3" s="1"/>
  <c r="E32" i="3" a="1"/>
  <c r="E32" i="3" s="1"/>
  <c r="F32" i="3" a="1"/>
  <c r="F32" i="3" s="1"/>
  <c r="G32" i="3" a="1"/>
  <c r="G32" i="3" s="1"/>
  <c r="H32" i="3" a="1"/>
  <c r="H32" i="3" s="1"/>
  <c r="I32" i="3" a="1"/>
  <c r="I32" i="3" s="1"/>
  <c r="J32" i="3" a="1"/>
  <c r="J32" i="3" s="1"/>
  <c r="K32" i="3" a="1"/>
  <c r="K32" i="3" s="1"/>
  <c r="L32" i="3" a="1"/>
  <c r="L32" i="3" s="1"/>
  <c r="M32" i="3" a="1"/>
  <c r="M32" i="3" s="1"/>
  <c r="N32" i="3" a="1"/>
  <c r="N32" i="3" s="1"/>
  <c r="O32" i="3" a="1"/>
  <c r="O32" i="3" s="1"/>
  <c r="P32" i="3" a="1"/>
  <c r="P32" i="3" s="1"/>
  <c r="Q32" i="3" a="1"/>
  <c r="Q32" i="3" s="1"/>
  <c r="R32" i="3" a="1"/>
  <c r="R32" i="3" s="1"/>
  <c r="S32" i="3" a="1"/>
  <c r="S32" i="3" s="1"/>
  <c r="D11" i="3" a="1"/>
  <c r="D11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P16" i="3" a="1"/>
  <c r="P16" i="3" s="1"/>
  <c r="Q16" i="3" a="1"/>
  <c r="Q16" i="3" s="1"/>
  <c r="R16" i="3" a="1"/>
  <c r="R16" i="3" s="1"/>
  <c r="S16" i="3" a="1"/>
  <c r="S16" i="3" s="1"/>
  <c r="D36" i="3" a="1"/>
  <c r="D36" i="3" s="1"/>
  <c r="E36" i="3" a="1"/>
  <c r="E36" i="3" s="1"/>
  <c r="F36" i="3" a="1"/>
  <c r="F36" i="3" s="1"/>
  <c r="G36" i="3" a="1"/>
  <c r="G36" i="3" s="1"/>
  <c r="H36" i="3" a="1"/>
  <c r="H36" i="3" s="1"/>
  <c r="I36" i="3" a="1"/>
  <c r="I36" i="3" s="1"/>
  <c r="J36" i="3" a="1"/>
  <c r="J36" i="3" s="1"/>
  <c r="K36" i="3" a="1"/>
  <c r="K36" i="3" s="1"/>
  <c r="L36" i="3" a="1"/>
  <c r="L36" i="3" s="1"/>
  <c r="M36" i="3" a="1"/>
  <c r="M36" i="3" s="1"/>
  <c r="N36" i="3" a="1"/>
  <c r="N36" i="3" s="1"/>
  <c r="O36" i="3" a="1"/>
  <c r="O36" i="3" s="1"/>
  <c r="P36" i="3" a="1"/>
  <c r="P36" i="3" s="1"/>
  <c r="Q36" i="3" a="1"/>
  <c r="Q36" i="3" s="1"/>
  <c r="R36" i="3" a="1"/>
  <c r="R36" i="3" s="1"/>
  <c r="S36" i="3" a="1"/>
  <c r="S36" i="3" s="1"/>
  <c r="D45" i="3" a="1"/>
  <c r="D45" i="3" s="1"/>
  <c r="E45" i="3" a="1"/>
  <c r="E45" i="3" s="1"/>
  <c r="F45" i="3" a="1"/>
  <c r="F45" i="3" s="1"/>
  <c r="G45" i="3" a="1"/>
  <c r="G45" i="3" s="1"/>
  <c r="H45" i="3" a="1"/>
  <c r="H45" i="3" s="1"/>
  <c r="I45" i="3" a="1"/>
  <c r="I45" i="3" s="1"/>
  <c r="J45" i="3" a="1"/>
  <c r="J45" i="3" s="1"/>
  <c r="K45" i="3" a="1"/>
  <c r="K45" i="3" s="1"/>
  <c r="L45" i="3" a="1"/>
  <c r="L45" i="3" s="1"/>
  <c r="M45" i="3" a="1"/>
  <c r="M45" i="3" s="1"/>
  <c r="N45" i="3" a="1"/>
  <c r="N45" i="3" s="1"/>
  <c r="O45" i="3" a="1"/>
  <c r="O45" i="3" s="1"/>
  <c r="P45" i="3" a="1"/>
  <c r="P45" i="3" s="1"/>
  <c r="Q45" i="3" a="1"/>
  <c r="Q45" i="3" s="1"/>
  <c r="R45" i="3" a="1"/>
  <c r="R45" i="3" s="1"/>
  <c r="S45" i="3" a="1"/>
  <c r="S45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D7" i="3" a="1"/>
  <c r="D7" i="3" s="1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D21" i="3" a="1"/>
  <c r="D21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P21" i="3" a="1"/>
  <c r="P21" i="3" s="1"/>
  <c r="Q21" i="3" a="1"/>
  <c r="Q21" i="3" s="1"/>
  <c r="R21" i="3" a="1"/>
  <c r="R21" i="3" s="1"/>
  <c r="S21" i="3" a="1"/>
  <c r="S21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P15" i="3" a="1"/>
  <c r="P15" i="3" s="1"/>
  <c r="Q15" i="3" a="1"/>
  <c r="Q15" i="3" s="1"/>
  <c r="R15" i="3" a="1"/>
  <c r="R15" i="3" s="1"/>
  <c r="S15" i="3" a="1"/>
  <c r="S15" i="3" s="1"/>
  <c r="D12" i="3" a="1"/>
  <c r="D12" i="3" s="1"/>
  <c r="E12" i="3" a="1"/>
  <c r="E12" i="3" s="1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D42" i="3" a="1"/>
  <c r="D42" i="3" s="1"/>
  <c r="E42" i="3" a="1"/>
  <c r="E42" i="3" s="1"/>
  <c r="F42" i="3" a="1"/>
  <c r="F42" i="3" s="1"/>
  <c r="G42" i="3" a="1"/>
  <c r="G42" i="3" s="1"/>
  <c r="H42" i="3" a="1"/>
  <c r="H42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N42" i="3" a="1"/>
  <c r="N42" i="3" s="1"/>
  <c r="O42" i="3" a="1"/>
  <c r="O42" i="3" s="1"/>
  <c r="P42" i="3" a="1"/>
  <c r="P42" i="3" s="1"/>
  <c r="Q42" i="3" a="1"/>
  <c r="Q42" i="3" s="1"/>
  <c r="R42" i="3" a="1"/>
  <c r="R42" i="3" s="1"/>
  <c r="S42" i="3" a="1"/>
  <c r="S42" i="3" s="1"/>
  <c r="D3" i="3" a="1"/>
  <c r="D3" i="3" s="1"/>
  <c r="E3" i="3" a="1"/>
  <c r="E3" i="3" s="1"/>
  <c r="F3" i="3" a="1"/>
  <c r="F3" i="3" s="1"/>
  <c r="G3" i="3" a="1"/>
  <c r="G3" i="3" s="1"/>
  <c r="H3" i="3" a="1"/>
  <c r="H3" i="3" s="1"/>
  <c r="I3" i="3" a="1"/>
  <c r="I3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D35" i="3" a="1"/>
  <c r="D35" i="3" s="1"/>
  <c r="E35" i="3" a="1"/>
  <c r="E35" i="3" s="1"/>
  <c r="F35" i="3" a="1"/>
  <c r="F35" i="3" s="1"/>
  <c r="G35" i="3" a="1"/>
  <c r="G35" i="3" s="1"/>
  <c r="H35" i="3" a="1"/>
  <c r="H35" i="3" s="1"/>
  <c r="I35" i="3" a="1"/>
  <c r="I35" i="3" s="1"/>
  <c r="J35" i="3" a="1"/>
  <c r="J35" i="3" s="1"/>
  <c r="K35" i="3" a="1"/>
  <c r="K35" i="3" s="1"/>
  <c r="L35" i="3" a="1"/>
  <c r="L35" i="3" s="1"/>
  <c r="M35" i="3" a="1"/>
  <c r="M35" i="3" s="1"/>
  <c r="N35" i="3" a="1"/>
  <c r="N35" i="3" s="1"/>
  <c r="O35" i="3" a="1"/>
  <c r="O35" i="3" s="1"/>
  <c r="P35" i="3" a="1"/>
  <c r="P35" i="3" s="1"/>
  <c r="Q35" i="3" a="1"/>
  <c r="Q35" i="3" s="1"/>
  <c r="R35" i="3" a="1"/>
  <c r="R35" i="3" s="1"/>
  <c r="S35" i="3" a="1"/>
  <c r="S35" i="3" s="1"/>
  <c r="D40" i="3" a="1"/>
  <c r="D40" i="3" s="1"/>
  <c r="E40" i="3" a="1"/>
  <c r="E40" i="3" s="1"/>
  <c r="F40" i="3" a="1"/>
  <c r="F40" i="3" s="1"/>
  <c r="G40" i="3" a="1"/>
  <c r="G40" i="3" s="1"/>
  <c r="H40" i="3" a="1"/>
  <c r="H40" i="3" s="1"/>
  <c r="I40" i="3" a="1"/>
  <c r="I40" i="3" s="1"/>
  <c r="J40" i="3" a="1"/>
  <c r="J40" i="3" s="1"/>
  <c r="K40" i="3" a="1"/>
  <c r="K40" i="3" s="1"/>
  <c r="L40" i="3" a="1"/>
  <c r="L40" i="3" s="1"/>
  <c r="M40" i="3" a="1"/>
  <c r="M40" i="3" s="1"/>
  <c r="N40" i="3" a="1"/>
  <c r="N40" i="3" s="1"/>
  <c r="O40" i="3" a="1"/>
  <c r="O40" i="3" s="1"/>
  <c r="P40" i="3" a="1"/>
  <c r="P40" i="3" s="1"/>
  <c r="Q40" i="3" a="1"/>
  <c r="Q40" i="3" s="1"/>
  <c r="R40" i="3" a="1"/>
  <c r="R40" i="3" s="1"/>
  <c r="S40" i="3" a="1"/>
  <c r="S40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P19" i="3" a="1"/>
  <c r="P19" i="3" s="1"/>
  <c r="Q19" i="3" a="1"/>
  <c r="Q19" i="3" s="1"/>
  <c r="R19" i="3" a="1"/>
  <c r="R19" i="3" s="1"/>
  <c r="S19" i="3" a="1"/>
  <c r="S19" i="3" s="1"/>
  <c r="D13" i="3" a="1"/>
  <c r="D13" i="3" s="1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O13" i="3" a="1"/>
  <c r="O13" i="3" s="1"/>
  <c r="P13" i="3" a="1"/>
  <c r="P13" i="3" s="1"/>
  <c r="Q13" i="3" a="1"/>
  <c r="Q13" i="3" s="1"/>
  <c r="R13" i="3" a="1"/>
  <c r="R13" i="3" s="1"/>
  <c r="S13" i="3" a="1"/>
  <c r="S13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 s="1"/>
  <c r="P14" i="3" a="1"/>
  <c r="P14" i="3" s="1"/>
  <c r="Q14" i="3" a="1"/>
  <c r="Q14" i="3" s="1"/>
  <c r="R14" i="3" a="1"/>
  <c r="R14" i="3" s="1"/>
  <c r="S14" i="3" a="1"/>
  <c r="S14" i="3" s="1"/>
  <c r="D6" i="3" a="1"/>
  <c r="D6" i="3" s="1"/>
  <c r="E6" i="3" a="1"/>
  <c r="E6" i="3" s="1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D34" i="3" a="1"/>
  <c r="D34" i="3" s="1"/>
  <c r="E34" i="3" a="1"/>
  <c r="E34" i="3" s="1"/>
  <c r="F34" i="3" a="1"/>
  <c r="F34" i="3" s="1"/>
  <c r="G34" i="3" a="1"/>
  <c r="G34" i="3" s="1"/>
  <c r="H34" i="3" a="1"/>
  <c r="H34" i="3" s="1"/>
  <c r="I34" i="3" a="1"/>
  <c r="I34" i="3" s="1"/>
  <c r="J34" i="3" a="1"/>
  <c r="J34" i="3" s="1"/>
  <c r="K34" i="3" a="1"/>
  <c r="K34" i="3" s="1"/>
  <c r="L34" i="3" a="1"/>
  <c r="L34" i="3" s="1"/>
  <c r="M34" i="3" a="1"/>
  <c r="M34" i="3" s="1"/>
  <c r="N34" i="3" a="1"/>
  <c r="N34" i="3" s="1"/>
  <c r="O34" i="3" a="1"/>
  <c r="O34" i="3" s="1"/>
  <c r="P34" i="3" a="1"/>
  <c r="P34" i="3" s="1"/>
  <c r="Q34" i="3" a="1"/>
  <c r="Q34" i="3" s="1"/>
  <c r="R34" i="3" a="1"/>
  <c r="R34" i="3" s="1"/>
  <c r="S34" i="3" a="1"/>
  <c r="S34" i="3" s="1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D24" i="3" a="1"/>
  <c r="D24" i="3" s="1"/>
  <c r="E24" i="3" a="1"/>
  <c r="E24" i="3" s="1"/>
  <c r="F24" i="3" a="1"/>
  <c r="F24" i="3" s="1"/>
  <c r="G24" i="3" a="1"/>
  <c r="G24" i="3" s="1"/>
  <c r="H24" i="3" a="1"/>
  <c r="H24" i="3" s="1"/>
  <c r="I24" i="3" a="1"/>
  <c r="I24" i="3" s="1"/>
  <c r="J24" i="3" a="1"/>
  <c r="J24" i="3" s="1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P24" i="3" a="1"/>
  <c r="P24" i="3" s="1"/>
  <c r="Q24" i="3" a="1"/>
  <c r="Q24" i="3" s="1"/>
  <c r="R24" i="3" a="1"/>
  <c r="R24" i="3" s="1"/>
  <c r="S24" i="3" a="1"/>
  <c r="S24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D30" i="3" a="1"/>
  <c r="D30" i="3" s="1"/>
  <c r="E30" i="3" a="1"/>
  <c r="E30" i="3" s="1"/>
  <c r="F30" i="3" a="1"/>
  <c r="F30" i="3" s="1"/>
  <c r="G30" i="3" a="1"/>
  <c r="G30" i="3" s="1"/>
  <c r="H30" i="3" a="1"/>
  <c r="H30" i="3" s="1"/>
  <c r="I30" i="3" a="1"/>
  <c r="I30" i="3" s="1"/>
  <c r="J30" i="3" a="1"/>
  <c r="J30" i="3" s="1"/>
  <c r="K30" i="3" a="1"/>
  <c r="K30" i="3" s="1"/>
  <c r="L30" i="3" a="1"/>
  <c r="L30" i="3" s="1"/>
  <c r="M30" i="3" a="1"/>
  <c r="M30" i="3" s="1"/>
  <c r="N30" i="3" a="1"/>
  <c r="N30" i="3" s="1"/>
  <c r="O30" i="3" a="1"/>
  <c r="O30" i="3" s="1"/>
  <c r="P30" i="3" a="1"/>
  <c r="P30" i="3" s="1"/>
  <c r="Q30" i="3" a="1"/>
  <c r="Q30" i="3" s="1"/>
  <c r="R30" i="3" a="1"/>
  <c r="R30" i="3" s="1"/>
  <c r="S30" i="3" a="1"/>
  <c r="S30" i="3" s="1"/>
  <c r="D31" i="3" a="1"/>
  <c r="D31" i="3" s="1"/>
  <c r="E31" i="3" a="1"/>
  <c r="E31" i="3" s="1"/>
  <c r="F31" i="3" a="1"/>
  <c r="F31" i="3" s="1"/>
  <c r="G31" i="3" a="1"/>
  <c r="G31" i="3" s="1"/>
  <c r="H31" i="3" a="1"/>
  <c r="H31" i="3" s="1"/>
  <c r="I31" i="3" a="1"/>
  <c r="I31" i="3" s="1"/>
  <c r="J31" i="3" a="1"/>
  <c r="J31" i="3" s="1"/>
  <c r="K31" i="3" a="1"/>
  <c r="K31" i="3" s="1"/>
  <c r="L31" i="3" a="1"/>
  <c r="L31" i="3" s="1"/>
  <c r="M31" i="3" a="1"/>
  <c r="M31" i="3" s="1"/>
  <c r="N31" i="3" a="1"/>
  <c r="N31" i="3" s="1"/>
  <c r="O31" i="3" a="1"/>
  <c r="O31" i="3" s="1"/>
  <c r="P31" i="3" a="1"/>
  <c r="P31" i="3" s="1"/>
  <c r="Q31" i="3" a="1"/>
  <c r="Q31" i="3" s="1"/>
  <c r="R31" i="3" a="1"/>
  <c r="R31" i="3" s="1"/>
  <c r="S31" i="3" a="1"/>
  <c r="S31" i="3" s="1"/>
  <c r="D23" i="3" a="1"/>
  <c r="D23" i="3" s="1"/>
  <c r="E23" i="3" a="1"/>
  <c r="E23" i="3" s="1"/>
  <c r="F23" i="3" a="1"/>
  <c r="F23" i="3" s="1"/>
  <c r="G23" i="3" a="1"/>
  <c r="G23" i="3" s="1"/>
  <c r="H23" i="3" a="1"/>
  <c r="H23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P23" i="3" a="1"/>
  <c r="P23" i="3" s="1"/>
  <c r="Q23" i="3" a="1"/>
  <c r="Q23" i="3" s="1"/>
  <c r="R23" i="3" a="1"/>
  <c r="R23" i="3" s="1"/>
  <c r="S23" i="3" a="1"/>
  <c r="S23" i="3" s="1"/>
  <c r="D37" i="3" a="1"/>
  <c r="D37" i="3" s="1"/>
  <c r="E37" i="3" a="1"/>
  <c r="E37" i="3" s="1"/>
  <c r="F37" i="3" a="1"/>
  <c r="F37" i="3" s="1"/>
  <c r="G37" i="3" a="1"/>
  <c r="G37" i="3" s="1"/>
  <c r="H37" i="3" a="1"/>
  <c r="H37" i="3" s="1"/>
  <c r="I37" i="3" a="1"/>
  <c r="I37" i="3" s="1"/>
  <c r="J37" i="3" a="1"/>
  <c r="J37" i="3" s="1"/>
  <c r="K37" i="3" a="1"/>
  <c r="K37" i="3" s="1"/>
  <c r="L37" i="3" a="1"/>
  <c r="L37" i="3" s="1"/>
  <c r="M37" i="3" a="1"/>
  <c r="M37" i="3" s="1"/>
  <c r="N37" i="3" a="1"/>
  <c r="N37" i="3" s="1"/>
  <c r="O37" i="3" a="1"/>
  <c r="O37" i="3" s="1"/>
  <c r="P37" i="3" a="1"/>
  <c r="P37" i="3" s="1"/>
  <c r="Q37" i="3" a="1"/>
  <c r="Q37" i="3" s="1"/>
  <c r="R37" i="3" a="1"/>
  <c r="R37" i="3" s="1"/>
  <c r="S37" i="3" a="1"/>
  <c r="S37" i="3" s="1"/>
  <c r="D47" i="3" a="1"/>
  <c r="D47" i="3" s="1"/>
  <c r="E47" i="3" a="1"/>
  <c r="E47" i="3" s="1"/>
  <c r="F47" i="3" a="1"/>
  <c r="F47" i="3" s="1"/>
  <c r="G47" i="3" a="1"/>
  <c r="G47" i="3" s="1"/>
  <c r="H47" i="3" a="1"/>
  <c r="H47" i="3" s="1"/>
  <c r="I47" i="3" a="1"/>
  <c r="I47" i="3" s="1"/>
  <c r="J47" i="3" a="1"/>
  <c r="J47" i="3" s="1"/>
  <c r="K47" i="3" a="1"/>
  <c r="K47" i="3" s="1"/>
  <c r="L47" i="3" a="1"/>
  <c r="L47" i="3" s="1"/>
  <c r="M47" i="3" a="1"/>
  <c r="M47" i="3" s="1"/>
  <c r="N47" i="3" a="1"/>
  <c r="N47" i="3" s="1"/>
  <c r="O47" i="3" a="1"/>
  <c r="O47" i="3" s="1"/>
  <c r="P47" i="3" a="1"/>
  <c r="P47" i="3" s="1"/>
  <c r="Q47" i="3" a="1"/>
  <c r="Q47" i="3" s="1"/>
  <c r="R47" i="3" a="1"/>
  <c r="R47" i="3" s="1"/>
  <c r="S47" i="3" a="1"/>
  <c r="S47" i="3" s="1"/>
  <c r="D29" i="3" a="1"/>
  <c r="D29" i="3" s="1"/>
  <c r="E29" i="3" a="1"/>
  <c r="E29" i="3" s="1"/>
  <c r="F29" i="3" a="1"/>
  <c r="F29" i="3" s="1"/>
  <c r="G29" i="3" a="1"/>
  <c r="G29" i="3" s="1"/>
  <c r="H29" i="3" a="1"/>
  <c r="H29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N29" i="3" a="1"/>
  <c r="N29" i="3" s="1"/>
  <c r="O29" i="3" a="1"/>
  <c r="O29" i="3" s="1"/>
  <c r="P29" i="3" a="1"/>
  <c r="P29" i="3" s="1"/>
  <c r="Q29" i="3" a="1"/>
  <c r="Q29" i="3" s="1"/>
  <c r="R29" i="3" a="1"/>
  <c r="R29" i="3" s="1"/>
  <c r="S29" i="3" a="1"/>
  <c r="S29" i="3" s="1"/>
  <c r="D2" i="3" a="1"/>
  <c r="D2" i="3" s="1"/>
  <c r="D4" i="3" a="1"/>
  <c r="D4" i="3" s="1"/>
  <c r="D8" i="3" a="1"/>
  <c r="D8" i="3" s="1"/>
  <c r="D22" i="3" a="1"/>
  <c r="D22" i="3" s="1"/>
  <c r="D18" i="3" a="1"/>
  <c r="D18" i="3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2" i="2" a="1"/>
  <c r="C2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H4" i="3" a="1"/>
  <c r="H4" i="3" s="1"/>
  <c r="H8" i="3" a="1"/>
  <c r="H8" i="3" s="1"/>
  <c r="H22" i="3" a="1"/>
  <c r="H22" i="3" s="1"/>
  <c r="H18" i="3" a="1"/>
  <c r="H18" i="3" s="1"/>
  <c r="H2" i="3" a="1"/>
  <c r="H2" i="3" s="1"/>
  <c r="E8" i="3" a="1"/>
  <c r="E8" i="3" s="1"/>
  <c r="E22" i="3" a="1"/>
  <c r="E22" i="3" s="1"/>
  <c r="E18" i="3" a="1"/>
  <c r="E18" i="3" s="1"/>
  <c r="E2" i="3" a="1"/>
  <c r="E2" i="3" s="1"/>
  <c r="E4" i="3" a="1"/>
  <c r="E4" i="3" s="1"/>
  <c r="G4" i="3" a="1"/>
  <c r="G4" i="3" s="1"/>
  <c r="G8" i="3" a="1"/>
  <c r="G8" i="3" s="1"/>
  <c r="G22" i="3" a="1"/>
  <c r="G22" i="3" s="1"/>
  <c r="G18" i="3" a="1"/>
  <c r="G18" i="3" s="1"/>
  <c r="G2" i="3" a="1"/>
  <c r="G2" i="3" s="1"/>
  <c r="F4" i="3" a="1"/>
  <c r="F4" i="3" s="1"/>
  <c r="F8" i="3" a="1"/>
  <c r="F8" i="3" s="1"/>
  <c r="F22" i="3" a="1"/>
  <c r="F22" i="3" s="1"/>
  <c r="F18" i="3" a="1"/>
  <c r="F18" i="3" s="1"/>
  <c r="F2" i="3" a="1"/>
  <c r="F2" i="3" s="1"/>
  <c r="O2" i="3" a="1"/>
  <c r="O2" i="3" s="1"/>
  <c r="M2" i="3" a="1"/>
  <c r="M2" i="3" s="1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 s="1"/>
  <c r="P22" i="3" a="1"/>
  <c r="P22" i="3" s="1"/>
  <c r="Q22" i="3" a="1"/>
  <c r="Q22" i="3" s="1"/>
  <c r="R22" i="3" a="1"/>
  <c r="R22" i="3" s="1"/>
  <c r="S22" i="3" a="1"/>
  <c r="S22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P18" i="3" a="1"/>
  <c r="P18" i="3" s="1"/>
  <c r="Q18" i="3" a="1"/>
  <c r="Q18" i="3" s="1"/>
  <c r="R18" i="3" a="1"/>
  <c r="R18" i="3" s="1"/>
  <c r="S18" i="3" a="1"/>
  <c r="S18" i="3" s="1"/>
  <c r="J2" i="3" a="1"/>
  <c r="J2" i="3" s="1"/>
  <c r="K2" i="3" a="1"/>
  <c r="K2" i="3" s="1"/>
  <c r="L2" i="3" a="1"/>
  <c r="L2" i="3" s="1"/>
  <c r="N2" i="3" a="1"/>
  <c r="N2" i="3" s="1"/>
  <c r="P2" i="3" a="1"/>
  <c r="P2" i="3" s="1"/>
  <c r="Q2" i="3" a="1"/>
  <c r="Q2" i="3" s="1"/>
  <c r="R2" i="3" a="1"/>
  <c r="R2" i="3" s="1"/>
  <c r="S2" i="3" a="1"/>
  <c r="S2" i="3" s="1"/>
  <c r="I2" i="3" a="1"/>
  <c r="I2" i="3" s="1"/>
  <c r="T2" i="2"/>
  <c r="J1" i="3"/>
  <c r="K1" i="3"/>
  <c r="L1" i="3"/>
  <c r="M1" i="3"/>
  <c r="N1" i="3"/>
  <c r="O1" i="3"/>
  <c r="P1" i="3"/>
  <c r="Q1" i="3"/>
  <c r="R1" i="3"/>
  <c r="S1" i="3"/>
  <c r="I1" i="3"/>
  <c r="F2" i="2"/>
  <c r="H2" i="2"/>
  <c r="I2" i="2"/>
  <c r="J2" i="2"/>
  <c r="K2" i="2"/>
  <c r="L2" i="2"/>
  <c r="M2" i="2"/>
  <c r="N2" i="2"/>
  <c r="O2" i="2"/>
  <c r="P2" i="2"/>
  <c r="Q2" i="2"/>
  <c r="R2" i="2"/>
  <c r="S2" i="2"/>
  <c r="G2" i="2"/>
  <c r="R1" i="2"/>
  <c r="S1" i="2"/>
  <c r="T1" i="2"/>
  <c r="K1" i="2"/>
  <c r="L1" i="2"/>
  <c r="M1" i="2"/>
  <c r="N1" i="2"/>
  <c r="O1" i="2"/>
  <c r="P1" i="2"/>
  <c r="Q1" i="2"/>
  <c r="G1" i="2"/>
  <c r="H1" i="2"/>
  <c r="I1" i="2"/>
  <c r="J1" i="2"/>
  <c r="F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<sst xmlns="http://schemas.openxmlformats.org/spreadsheetml/2006/main" count="2130" uniqueCount="376">
  <si>
    <t>ba</t>
  </si>
  <si>
    <t>nercr</t>
  </si>
  <si>
    <t>transreg</t>
  </si>
  <si>
    <t>transgrp</t>
  </si>
  <si>
    <t>cendiv</t>
  </si>
  <si>
    <t>st</t>
  </si>
  <si>
    <t>interconnect</t>
  </si>
  <si>
    <t>st_interconnect</t>
  </si>
  <si>
    <t>country</t>
  </si>
  <si>
    <t>usda_region</t>
  </si>
  <si>
    <t>h2ptcreg</t>
  </si>
  <si>
    <t>hurdlereg</t>
  </si>
  <si>
    <t>aggreg</t>
  </si>
  <si>
    <t>p1</t>
  </si>
  <si>
    <t>WECC_NW</t>
  </si>
  <si>
    <t>NorthernGrid</t>
  </si>
  <si>
    <t>NorthernGrid_West</t>
  </si>
  <si>
    <t>Pacific</t>
  </si>
  <si>
    <t>WA</t>
  </si>
  <si>
    <t>western</t>
  </si>
  <si>
    <t>USA</t>
  </si>
  <si>
    <t>pacific</t>
  </si>
  <si>
    <t>Northwest</t>
  </si>
  <si>
    <t>Puget_Sound_Energy_Inc</t>
  </si>
  <si>
    <t>p2</t>
  </si>
  <si>
    <t>Bonneville_Power_Administration</t>
  </si>
  <si>
    <t>p3</t>
  </si>
  <si>
    <t>Avista_Corp</t>
  </si>
  <si>
    <t>p4</t>
  </si>
  <si>
    <t>PUD_No2_of_Grant_County</t>
  </si>
  <si>
    <t>p5</t>
  </si>
  <si>
    <t>OR</t>
  </si>
  <si>
    <t>p6</t>
  </si>
  <si>
    <t>PacifiCorp_West</t>
  </si>
  <si>
    <t>p7</t>
  </si>
  <si>
    <t>p8</t>
  </si>
  <si>
    <t>NorthernGrid_South</t>
  </si>
  <si>
    <t>CA</t>
  </si>
  <si>
    <t>California</t>
  </si>
  <si>
    <t>p9</t>
  </si>
  <si>
    <t>WECC_CA</t>
  </si>
  <si>
    <t>CAISO</t>
  </si>
  <si>
    <t>p10</t>
  </si>
  <si>
    <t>p11</t>
  </si>
  <si>
    <t>p12</t>
  </si>
  <si>
    <t>Mountain</t>
  </si>
  <si>
    <t>NV</t>
  </si>
  <si>
    <t>mountain</t>
  </si>
  <si>
    <t>Nevada_Power_Co</t>
  </si>
  <si>
    <t>p13</t>
  </si>
  <si>
    <t>p14</t>
  </si>
  <si>
    <t>NorthernGrid_East</t>
  </si>
  <si>
    <t>ID</t>
  </si>
  <si>
    <t>p15</t>
  </si>
  <si>
    <t>Idaho_Power_Co</t>
  </si>
  <si>
    <t>p16</t>
  </si>
  <si>
    <t>p17</t>
  </si>
  <si>
    <t>MT</t>
  </si>
  <si>
    <t>MT_western</t>
  </si>
  <si>
    <t>Northwestern_Energy</t>
  </si>
  <si>
    <t>p18</t>
  </si>
  <si>
    <t>p19</t>
  </si>
  <si>
    <t>WAPA_Upper_Great_Plains_West</t>
  </si>
  <si>
    <t>p20</t>
  </si>
  <si>
    <t>p21</t>
  </si>
  <si>
    <t>WY</t>
  </si>
  <si>
    <t>PacifiCorp_East</t>
  </si>
  <si>
    <t>p22</t>
  </si>
  <si>
    <t>p23</t>
  </si>
  <si>
    <t>WestConnect</t>
  </si>
  <si>
    <t>WestConnect_North</t>
  </si>
  <si>
    <t>WAPA_Rocky_Mountain_Region</t>
  </si>
  <si>
    <t>p24</t>
  </si>
  <si>
    <t>p25</t>
  </si>
  <si>
    <t>UT</t>
  </si>
  <si>
    <t>p26</t>
  </si>
  <si>
    <t>p27</t>
  </si>
  <si>
    <t>WECC_SW</t>
  </si>
  <si>
    <t>WestConnect_South</t>
  </si>
  <si>
    <t>AZ</t>
  </si>
  <si>
    <t>Southwest</t>
  </si>
  <si>
    <t>WAPA_Desert_Southwest_Region</t>
  </si>
  <si>
    <t>p28</t>
  </si>
  <si>
    <t>Arizona_Public_Service_Co</t>
  </si>
  <si>
    <t>z28</t>
  </si>
  <si>
    <t>p29</t>
  </si>
  <si>
    <t>p30</t>
  </si>
  <si>
    <t>p31</t>
  </si>
  <si>
    <t>NM</t>
  </si>
  <si>
    <t>NM_western</t>
  </si>
  <si>
    <t>Public_Service_Co_of_New_Mexico</t>
  </si>
  <si>
    <t>p32</t>
  </si>
  <si>
    <t>SD</t>
  </si>
  <si>
    <t>SD_western</t>
  </si>
  <si>
    <t>northern-plains</t>
  </si>
  <si>
    <t>Plains</t>
  </si>
  <si>
    <t>p33</t>
  </si>
  <si>
    <t>CO</t>
  </si>
  <si>
    <t>Public_Service_Co_of_Colorado</t>
  </si>
  <si>
    <t>p34</t>
  </si>
  <si>
    <t>p35</t>
  </si>
  <si>
    <t>SPP</t>
  </si>
  <si>
    <t>SPP_North</t>
  </si>
  <si>
    <t>West_North_Central</t>
  </si>
  <si>
    <t>eastern</t>
  </si>
  <si>
    <t>MT_eastern</t>
  </si>
  <si>
    <t>p36</t>
  </si>
  <si>
    <t>ND</t>
  </si>
  <si>
    <t>p37</t>
  </si>
  <si>
    <t>MISO</t>
  </si>
  <si>
    <t>MISO_North</t>
  </si>
  <si>
    <t>p38</t>
  </si>
  <si>
    <t>SD_eastern</t>
  </si>
  <si>
    <t>p39</t>
  </si>
  <si>
    <t>NE</t>
  </si>
  <si>
    <t>p40</t>
  </si>
  <si>
    <t>p41</t>
  </si>
  <si>
    <t>p42</t>
  </si>
  <si>
    <t>MN</t>
  </si>
  <si>
    <t>lake-states</t>
  </si>
  <si>
    <t>Midwest</t>
  </si>
  <si>
    <t>p43</t>
  </si>
  <si>
    <t>p44</t>
  </si>
  <si>
    <t>p45</t>
  </si>
  <si>
    <t>IA</t>
  </si>
  <si>
    <t>corn-belt</t>
  </si>
  <si>
    <t>p46</t>
  </si>
  <si>
    <t>East_North_Central</t>
  </si>
  <si>
    <t>WI</t>
  </si>
  <si>
    <t>p47</t>
  </si>
  <si>
    <t>SPP_South</t>
  </si>
  <si>
    <t>West_South_Central</t>
  </si>
  <si>
    <t>NM_eastern</t>
  </si>
  <si>
    <t>p48</t>
  </si>
  <si>
    <t>TX</t>
  </si>
  <si>
    <t>TX_eastern</t>
  </si>
  <si>
    <t>southern-plains</t>
  </si>
  <si>
    <t>Texas</t>
  </si>
  <si>
    <t>p49</t>
  </si>
  <si>
    <t>OK</t>
  </si>
  <si>
    <t>p50</t>
  </si>
  <si>
    <t>p51</t>
  </si>
  <si>
    <t>p52</t>
  </si>
  <si>
    <t>KS</t>
  </si>
  <si>
    <t>p53</t>
  </si>
  <si>
    <t>p54</t>
  </si>
  <si>
    <t>MO</t>
  </si>
  <si>
    <t>p55</t>
  </si>
  <si>
    <t>p56</t>
  </si>
  <si>
    <t>AR</t>
  </si>
  <si>
    <t>delta-states</t>
  </si>
  <si>
    <t>Delta</t>
  </si>
  <si>
    <t>p57</t>
  </si>
  <si>
    <t>p58</t>
  </si>
  <si>
    <t>MISO_South</t>
  </si>
  <si>
    <t>LA</t>
  </si>
  <si>
    <t>p59</t>
  </si>
  <si>
    <t>TX_western</t>
  </si>
  <si>
    <t>El_Paso_Electric</t>
  </si>
  <si>
    <t>p60</t>
  </si>
  <si>
    <t>ERCOT</t>
  </si>
  <si>
    <t>ercot</t>
  </si>
  <si>
    <t>TX_ercot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</si>
  <si>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</si>
  <si>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</si>
  <si>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</si>
  <si>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</si>
  <si>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</si>
  <si>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</si>
  <si>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</si>
  <si>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</si>
  <si>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</si>
  <si>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</si>
  <si>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</si>
  <si>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MISO_Central</t>
  </si>
  <si>
    <t>p72</t>
  </si>
  <si>
    <t>p73</t>
  </si>
  <si>
    <t>p74</t>
  </si>
  <si>
    <t>MI</t>
  </si>
  <si>
    <t>p75</t>
  </si>
  <si>
    <t>p76</t>
  </si>
  <si>
    <t>p77</t>
  </si>
  <si>
    <t>p78</t>
  </si>
  <si>
    <t>p79</t>
  </si>
  <si>
    <t>p80</t>
  </si>
  <si>
    <t>PJM</t>
  </si>
  <si>
    <t>PJM_West</t>
  </si>
  <si>
    <t>IL</t>
  </si>
  <si>
    <t>p81</t>
  </si>
  <si>
    <t>p82</t>
  </si>
  <si>
    <t>p83</t>
  </si>
  <si>
    <t>p84</t>
  </si>
  <si>
    <t>p85</t>
  </si>
  <si>
    <t>p86</t>
  </si>
  <si>
    <t>p87</t>
  </si>
  <si>
    <t>East_South_Central</t>
  </si>
  <si>
    <t>MS</t>
  </si>
  <si>
    <t>p88</t>
  </si>
  <si>
    <t>SERC_C</t>
  </si>
  <si>
    <t>SERTP</t>
  </si>
  <si>
    <t>Tennessee_Valley_Authority</t>
  </si>
  <si>
    <t>p89</t>
  </si>
  <si>
    <t>SERC_SE</t>
  </si>
  <si>
    <t>AL</t>
  </si>
  <si>
    <t>southeast</t>
  </si>
  <si>
    <t>Southeast</t>
  </si>
  <si>
    <t>Southern_Co_Services_Inc</t>
  </si>
  <si>
    <t>p90</t>
  </si>
  <si>
    <t>PowerSouth_Energy_Coop</t>
  </si>
  <si>
    <t>p91</t>
  </si>
  <si>
    <t>South_Atlantic</t>
  </si>
  <si>
    <t>FL</t>
  </si>
  <si>
    <t>Florida</t>
  </si>
  <si>
    <t>p92</t>
  </si>
  <si>
    <t>TN</t>
  </si>
  <si>
    <t>appalachia</t>
  </si>
  <si>
    <t>p93</t>
  </si>
  <si>
    <t>KY</t>
  </si>
  <si>
    <t>MidAtlantic</t>
  </si>
  <si>
    <t>p94</t>
  </si>
  <si>
    <t>GA</t>
  </si>
  <si>
    <t>p95</t>
  </si>
  <si>
    <t>SERC_E</t>
  </si>
  <si>
    <t>SC</t>
  </si>
  <si>
    <t>Duke_Energy_Carolinas_LLC</t>
  </si>
  <si>
    <t>p96</t>
  </si>
  <si>
    <t>South_Carolina_Electric_Gas_Co</t>
  </si>
  <si>
    <t>p97</t>
  </si>
  <si>
    <t>NC</t>
  </si>
  <si>
    <t>p98</t>
  </si>
  <si>
    <t>Duke_Energy_Progress_East</t>
  </si>
  <si>
    <t>p99</t>
  </si>
  <si>
    <t>PJM_East</t>
  </si>
  <si>
    <t>VA</t>
  </si>
  <si>
    <t>p100</t>
  </si>
  <si>
    <t>p101</t>
  </si>
  <si>
    <t>SERC_F</t>
  </si>
  <si>
    <t>FRCC</t>
  </si>
  <si>
    <t>Seminole_Electric_Coop_Inc</t>
  </si>
  <si>
    <t>p102</t>
  </si>
  <si>
    <t>Florida_Power_and_Light</t>
  </si>
  <si>
    <t>p103</t>
  </si>
  <si>
    <t>p104</t>
  </si>
  <si>
    <t>p105</t>
  </si>
  <si>
    <t>IN</t>
  </si>
  <si>
    <t>p106</t>
  </si>
  <si>
    <t>p107</t>
  </si>
  <si>
    <t>p108</t>
  </si>
  <si>
    <t>p109</t>
  </si>
  <si>
    <t>p110</t>
  </si>
  <si>
    <t>p111</t>
  </si>
  <si>
    <t>OH</t>
  </si>
  <si>
    <t>p112</t>
  </si>
  <si>
    <t>p113</t>
  </si>
  <si>
    <t>p114</t>
  </si>
  <si>
    <t>p115</t>
  </si>
  <si>
    <t>Mid_Atlantic</t>
  </si>
  <si>
    <t>PA</t>
  </si>
  <si>
    <t>northeast</t>
  </si>
  <si>
    <t>p116</t>
  </si>
  <si>
    <t>WV</t>
  </si>
  <si>
    <t>p117</t>
  </si>
  <si>
    <t>p118</t>
  </si>
  <si>
    <t>p119</t>
  </si>
  <si>
    <t>z122</t>
  </si>
  <si>
    <t>p120</t>
  </si>
  <si>
    <t>p121</t>
  </si>
  <si>
    <t>MD</t>
  </si>
  <si>
    <t>p122</t>
  </si>
  <si>
    <t>p123</t>
  </si>
  <si>
    <t>p124</t>
  </si>
  <si>
    <t>p125</t>
  </si>
  <si>
    <t>DE</t>
  </si>
  <si>
    <t>p126</t>
  </si>
  <si>
    <t>NJ</t>
  </si>
  <si>
    <t>p127</t>
  </si>
  <si>
    <t>NPCC_NY</t>
  </si>
  <si>
    <t>NYISO</t>
  </si>
  <si>
    <t>NY</t>
  </si>
  <si>
    <t>NewYork</t>
  </si>
  <si>
    <t>p128</t>
  </si>
  <si>
    <t>p129</t>
  </si>
  <si>
    <t>NPCC_NE</t>
  </si>
  <si>
    <t>ISONE</t>
  </si>
  <si>
    <t>New_England</t>
  </si>
  <si>
    <t>VT</t>
  </si>
  <si>
    <t>NewEngland</t>
  </si>
  <si>
    <t>p130</t>
  </si>
  <si>
    <t>NH</t>
  </si>
  <si>
    <t>p131</t>
  </si>
  <si>
    <t>MA</t>
  </si>
  <si>
    <t>p132</t>
  </si>
  <si>
    <t>CT</t>
  </si>
  <si>
    <t>p133</t>
  </si>
  <si>
    <t>RI</t>
  </si>
  <si>
    <t>p134</t>
  </si>
  <si>
    <t>ME</t>
  </si>
  <si>
    <t>population</t>
  </si>
  <si>
    <t>Group</t>
  </si>
  <si>
    <t>unique values</t>
  </si>
  <si>
    <t>Agg name</t>
  </si>
  <si>
    <t>Bay area</t>
  </si>
  <si>
    <t>p1, p2, p3, p4, p5, p6, p7</t>
  </si>
  <si>
    <t>BAs (comma sep)</t>
  </si>
  <si>
    <t>p8, p12, p13, p25, p26</t>
  </si>
  <si>
    <t>States</t>
  </si>
  <si>
    <t>Transmission Groups</t>
  </si>
  <si>
    <t>State Interconnections</t>
  </si>
  <si>
    <t>Population</t>
  </si>
  <si>
    <t>aggregated?</t>
  </si>
  <si>
    <t>double aggregated?</t>
  </si>
  <si>
    <t># of Bas</t>
  </si>
  <si>
    <t>p33, p34</t>
  </si>
  <si>
    <t>p23, p24, p32</t>
  </si>
  <si>
    <t>p14, p15, p16, p17, p18, p19, p20, p21, p22</t>
  </si>
  <si>
    <t>p47, p48, p49, p50, p51, p56, p57</t>
  </si>
  <si>
    <t>p52, p53, p54, p55</t>
  </si>
  <si>
    <t>p60, p61, p62, p65</t>
  </si>
  <si>
    <t>p63, p64</t>
  </si>
  <si>
    <t>Houston (ERCOT)</t>
  </si>
  <si>
    <t>p58, p66, p86</t>
  </si>
  <si>
    <t>p85, p87</t>
  </si>
  <si>
    <t>p95, p96</t>
  </si>
  <si>
    <t>p97, p98</t>
  </si>
  <si>
    <t>p109, p110</t>
  </si>
  <si>
    <t>p111, p112, p113, p114</t>
  </si>
  <si>
    <t>p115, p119, p120, p122</t>
  </si>
  <si>
    <t>p121, p123, p124</t>
  </si>
  <si>
    <t>p100, p118, p99</t>
  </si>
  <si>
    <t>p125, p126</t>
  </si>
  <si>
    <t>New York City</t>
  </si>
  <si>
    <t>p71, p72, p73, p84</t>
  </si>
  <si>
    <t>p105, p106, p107, p108</t>
  </si>
  <si>
    <t>p81, p82, p83</t>
  </si>
  <si>
    <t>p80, p104</t>
  </si>
  <si>
    <t>p35, p36, p38, p39, p40, p41</t>
  </si>
  <si>
    <t>p45, p69, p70</t>
  </si>
  <si>
    <t>p46, p74, p75, p76, p77, p78, p79</t>
  </si>
  <si>
    <t>p37, p42, p43, p44, p68</t>
  </si>
  <si>
    <t>San Diego</t>
  </si>
  <si>
    <t>p129, p130</t>
  </si>
  <si>
    <t>p27, p28, p29, p30</t>
  </si>
  <si>
    <t>p31, p59</t>
  </si>
  <si>
    <t>p116, p117</t>
  </si>
  <si>
    <t>p132, p133</t>
  </si>
  <si>
    <t>LAX</t>
  </si>
  <si>
    <t>Central FL</t>
  </si>
  <si>
    <t>WA + OR</t>
  </si>
  <si>
    <t>DE + NJ</t>
  </si>
  <si>
    <t>p88, p89, p90, p91</t>
  </si>
  <si>
    <t>p92, p93</t>
  </si>
  <si>
    <t>IN + W KY</t>
  </si>
  <si>
    <t>MD + VA Island</t>
  </si>
  <si>
    <t>NV + UT + n CA</t>
  </si>
  <si>
    <t>se FL</t>
  </si>
  <si>
    <t>TN + s KY</t>
  </si>
  <si>
    <t>Chicago + sw MI</t>
  </si>
  <si>
    <t>e Texas (ERCOT)</t>
  </si>
  <si>
    <t>OK + e NM + nw TX</t>
  </si>
  <si>
    <t>AL + e MS + FL pnh</t>
  </si>
  <si>
    <t>MN + e ND</t>
  </si>
  <si>
    <t>WI + w MI</t>
  </si>
  <si>
    <t>LA + e TX</t>
  </si>
  <si>
    <t>w TX (ERCOT)</t>
  </si>
  <si>
    <t>KS + w MO</t>
  </si>
  <si>
    <t>CT + RT</t>
  </si>
  <si>
    <t>e AR + w MS</t>
  </si>
  <si>
    <t>e MO</t>
  </si>
  <si>
    <t>n KY</t>
  </si>
  <si>
    <t>ID + w MT + w WY</t>
  </si>
  <si>
    <t>IL (no Chicago)</t>
  </si>
  <si>
    <t>NE + e SD + w ND + e MT</t>
  </si>
  <si>
    <t>NM + w TX</t>
  </si>
  <si>
    <t>VT + NH</t>
  </si>
  <si>
    <t>e WY + w SD</t>
  </si>
  <si>
    <t>region_name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</si>
</sst>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19" fillId="0" borderId="0" xfId="0" applyFont="1"/>
    <xf numFmtId="43" fontId="19" fillId="0" borderId="0" xfId="1" applyFont="1"/>
    <xf numFmtId="0" fontId="20" fillId="0" borderId="0" xfId="0" applyFont="1"/>
    <xf numFmtId="0" fontId="21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21F52-5999-6E4F-8D62-53494B9D9DE1}" name="Table1" displayName="Table1" ref="A1:C135" totalsRowShown="0" headerRowDxfId="0">
  <tableColumns count="3">
    <tableColumn id="1" xr3:uid="{DFE0BB8B-C1CD-404E-80D3-C99BB62741D3}" name="ba"/>
    <tableColumn id="2" xr3:uid="{579BF4FD-FDF1-E245-8732-8D38F37160E6}" name="aggregated?">
      <calculatedColumnFormula array="1">IF(SUMPRODUCT(--(TRIM(IFERROR(_xlfn.TEXTSPLIT(_xlfn.TEXTJOIN(",",TRUE,Sheet2!$C$2:$C$1006),","),""))=A2))&gt;0,"Yes","No")</calculatedColumnFormula>
    </tableColumn>
    <tableColumn id="3" xr3:uid="{5ECA13BC-4AA0-3849-9AE2-DC36A735D16F}" name="double aggregated?">
      <calculatedColumnFormula array="1">SUMPRODUCT(--(TRIM(IFERROR(_xlfn.TEXTSPLIT(_xlfn.TEXTJOIN(",",TRUE,Sheet2!$C$2:$C$1006),","),""))=A2))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C11E-5E3D-FB44-A267-86203009BA47}">
  <dimension ref="A1:O135"/>
  <sheetViews>
    <sheetView zoomScale="125" workbookViewId="0">
      <selection activeCell="C5" sqref="C5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0</v>
      </c>
      <c r="O1" t="s">
        <v>297</v>
      </c>
    </row>
    <row r="2" spans="1:15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18</v>
      </c>
      <c r="I2" t="s">
        <v>20</v>
      </c>
      <c r="J2" t="s">
        <v>21</v>
      </c>
      <c r="K2" t="s">
        <v>22</v>
      </c>
      <c r="L2" t="s">
        <v>23</v>
      </c>
      <c r="M2" t="s">
        <v>13</v>
      </c>
      <c r="N2" t="s">
        <v>13</v>
      </c>
      <c r="O2">
        <v>5332062</v>
      </c>
    </row>
    <row r="3" spans="1:15" x14ac:dyDescent="0.2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18</v>
      </c>
      <c r="I3" t="s">
        <v>20</v>
      </c>
      <c r="J3" t="s">
        <v>21</v>
      </c>
      <c r="K3" t="s">
        <v>22</v>
      </c>
      <c r="L3" t="s">
        <v>25</v>
      </c>
      <c r="M3" t="s">
        <v>24</v>
      </c>
      <c r="N3" t="s">
        <v>24</v>
      </c>
      <c r="O3">
        <v>1621289</v>
      </c>
    </row>
    <row r="4" spans="1:15" x14ac:dyDescent="0.2">
      <c r="A4" t="s">
        <v>26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18</v>
      </c>
      <c r="I4" t="s">
        <v>20</v>
      </c>
      <c r="J4" t="s">
        <v>21</v>
      </c>
      <c r="K4" t="s">
        <v>22</v>
      </c>
      <c r="L4" t="s">
        <v>27</v>
      </c>
      <c r="M4" t="s">
        <v>26</v>
      </c>
      <c r="N4" t="s">
        <v>26</v>
      </c>
      <c r="O4">
        <v>854317</v>
      </c>
    </row>
    <row r="5" spans="1:15" x14ac:dyDescent="0.2">
      <c r="A5" t="s">
        <v>28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18</v>
      </c>
      <c r="I5" t="s">
        <v>20</v>
      </c>
      <c r="J5" t="s">
        <v>21</v>
      </c>
      <c r="K5" t="s">
        <v>22</v>
      </c>
      <c r="L5" t="s">
        <v>29</v>
      </c>
      <c r="M5" t="s">
        <v>28</v>
      </c>
      <c r="N5" t="s">
        <v>28</v>
      </c>
      <c r="O5">
        <v>150512</v>
      </c>
    </row>
    <row r="6" spans="1:15" x14ac:dyDescent="0.2">
      <c r="A6" t="s">
        <v>30</v>
      </c>
      <c r="B6" t="s">
        <v>14</v>
      </c>
      <c r="C6" t="s">
        <v>15</v>
      </c>
      <c r="D6" t="s">
        <v>16</v>
      </c>
      <c r="E6" t="s">
        <v>17</v>
      </c>
      <c r="F6" t="s">
        <v>31</v>
      </c>
      <c r="G6" t="s">
        <v>19</v>
      </c>
      <c r="H6" t="s">
        <v>31</v>
      </c>
      <c r="I6" t="s">
        <v>20</v>
      </c>
      <c r="J6" t="s">
        <v>21</v>
      </c>
      <c r="K6" t="s">
        <v>22</v>
      </c>
      <c r="L6" t="s">
        <v>25</v>
      </c>
      <c r="M6" t="s">
        <v>30</v>
      </c>
      <c r="N6" t="s">
        <v>30</v>
      </c>
      <c r="O6">
        <v>3628310</v>
      </c>
    </row>
    <row r="7" spans="1:15" x14ac:dyDescent="0.2">
      <c r="A7" t="s">
        <v>32</v>
      </c>
      <c r="B7" t="s">
        <v>14</v>
      </c>
      <c r="C7" t="s">
        <v>15</v>
      </c>
      <c r="D7" t="s">
        <v>16</v>
      </c>
      <c r="E7" t="s">
        <v>17</v>
      </c>
      <c r="F7" t="s">
        <v>31</v>
      </c>
      <c r="G7" t="s">
        <v>19</v>
      </c>
      <c r="H7" t="s">
        <v>31</v>
      </c>
      <c r="I7" t="s">
        <v>20</v>
      </c>
      <c r="J7" t="s">
        <v>21</v>
      </c>
      <c r="K7" t="s">
        <v>22</v>
      </c>
      <c r="L7" t="s">
        <v>33</v>
      </c>
      <c r="M7" t="s">
        <v>32</v>
      </c>
      <c r="N7" t="s">
        <v>32</v>
      </c>
      <c r="O7">
        <v>579400</v>
      </c>
    </row>
    <row r="8" spans="1:15" x14ac:dyDescent="0.2">
      <c r="A8" t="s">
        <v>34</v>
      </c>
      <c r="B8" t="s">
        <v>14</v>
      </c>
      <c r="C8" t="s">
        <v>15</v>
      </c>
      <c r="D8" t="s">
        <v>16</v>
      </c>
      <c r="E8" t="s">
        <v>17</v>
      </c>
      <c r="F8" t="s">
        <v>31</v>
      </c>
      <c r="G8" t="s">
        <v>19</v>
      </c>
      <c r="H8" t="s">
        <v>31</v>
      </c>
      <c r="I8" t="s">
        <v>20</v>
      </c>
      <c r="J8" t="s">
        <v>21</v>
      </c>
      <c r="K8" t="s">
        <v>22</v>
      </c>
      <c r="L8" t="s">
        <v>25</v>
      </c>
      <c r="M8" t="s">
        <v>34</v>
      </c>
      <c r="N8" t="s">
        <v>34</v>
      </c>
      <c r="O8">
        <v>64661</v>
      </c>
    </row>
    <row r="9" spans="1:15" x14ac:dyDescent="0.2">
      <c r="A9" t="s">
        <v>35</v>
      </c>
      <c r="B9" t="s">
        <v>14</v>
      </c>
      <c r="C9" t="s">
        <v>15</v>
      </c>
      <c r="D9" t="s">
        <v>36</v>
      </c>
      <c r="E9" t="s">
        <v>17</v>
      </c>
      <c r="F9" t="s">
        <v>37</v>
      </c>
      <c r="G9" t="s">
        <v>19</v>
      </c>
      <c r="H9" t="s">
        <v>37</v>
      </c>
      <c r="I9" t="s">
        <v>20</v>
      </c>
      <c r="J9" t="s">
        <v>21</v>
      </c>
      <c r="K9" t="s">
        <v>38</v>
      </c>
      <c r="L9" t="s">
        <v>33</v>
      </c>
      <c r="M9" t="s">
        <v>35</v>
      </c>
      <c r="N9" t="s">
        <v>35</v>
      </c>
      <c r="O9">
        <v>79329</v>
      </c>
    </row>
    <row r="10" spans="1:15" x14ac:dyDescent="0.2">
      <c r="A10" t="s">
        <v>39</v>
      </c>
      <c r="B10" t="s">
        <v>40</v>
      </c>
      <c r="C10" t="s">
        <v>41</v>
      </c>
      <c r="D10" t="s">
        <v>41</v>
      </c>
      <c r="E10" t="s">
        <v>17</v>
      </c>
      <c r="F10" t="s">
        <v>37</v>
      </c>
      <c r="G10" t="s">
        <v>19</v>
      </c>
      <c r="H10" t="s">
        <v>37</v>
      </c>
      <c r="I10" t="s">
        <v>20</v>
      </c>
      <c r="J10" t="s">
        <v>21</v>
      </c>
      <c r="K10" t="s">
        <v>38</v>
      </c>
      <c r="L10" t="s">
        <v>41</v>
      </c>
      <c r="M10" t="s">
        <v>39</v>
      </c>
      <c r="N10" t="s">
        <v>39</v>
      </c>
      <c r="O10">
        <v>15926605</v>
      </c>
    </row>
    <row r="11" spans="1:15" x14ac:dyDescent="0.2">
      <c r="A11" t="s">
        <v>42</v>
      </c>
      <c r="B11" t="s">
        <v>40</v>
      </c>
      <c r="C11" t="s">
        <v>41</v>
      </c>
      <c r="D11" t="s">
        <v>41</v>
      </c>
      <c r="E11" t="s">
        <v>17</v>
      </c>
      <c r="F11" t="s">
        <v>37</v>
      </c>
      <c r="G11" t="s">
        <v>19</v>
      </c>
      <c r="H11" t="s">
        <v>37</v>
      </c>
      <c r="I11" t="s">
        <v>20</v>
      </c>
      <c r="J11" t="s">
        <v>21</v>
      </c>
      <c r="K11" t="s">
        <v>38</v>
      </c>
      <c r="L11" t="s">
        <v>41</v>
      </c>
      <c r="M11" t="s">
        <v>42</v>
      </c>
      <c r="N11" t="s">
        <v>42</v>
      </c>
      <c r="O11">
        <v>20126530</v>
      </c>
    </row>
    <row r="12" spans="1:15" x14ac:dyDescent="0.2">
      <c r="A12" t="s">
        <v>43</v>
      </c>
      <c r="B12" t="s">
        <v>40</v>
      </c>
      <c r="C12" t="s">
        <v>41</v>
      </c>
      <c r="D12" t="s">
        <v>41</v>
      </c>
      <c r="E12" t="s">
        <v>17</v>
      </c>
      <c r="F12" t="s">
        <v>37</v>
      </c>
      <c r="G12" t="s">
        <v>19</v>
      </c>
      <c r="H12" t="s">
        <v>37</v>
      </c>
      <c r="I12" t="s">
        <v>20</v>
      </c>
      <c r="J12" t="s">
        <v>21</v>
      </c>
      <c r="K12" t="s">
        <v>38</v>
      </c>
      <c r="L12" t="s">
        <v>41</v>
      </c>
      <c r="M12" t="s">
        <v>43</v>
      </c>
      <c r="N12" t="s">
        <v>43</v>
      </c>
      <c r="O12">
        <v>3298799</v>
      </c>
    </row>
    <row r="13" spans="1:15" x14ac:dyDescent="0.2">
      <c r="A13" t="s">
        <v>44</v>
      </c>
      <c r="B13" t="s">
        <v>14</v>
      </c>
      <c r="C13" t="s">
        <v>15</v>
      </c>
      <c r="D13" t="s">
        <v>36</v>
      </c>
      <c r="E13" t="s">
        <v>45</v>
      </c>
      <c r="F13" t="s">
        <v>46</v>
      </c>
      <c r="G13" t="s">
        <v>19</v>
      </c>
      <c r="H13" t="s">
        <v>46</v>
      </c>
      <c r="I13" t="s">
        <v>20</v>
      </c>
      <c r="J13" t="s">
        <v>47</v>
      </c>
      <c r="K13" t="s">
        <v>45</v>
      </c>
      <c r="L13" t="s">
        <v>48</v>
      </c>
      <c r="M13" t="s">
        <v>44</v>
      </c>
      <c r="N13" t="s">
        <v>44</v>
      </c>
      <c r="O13">
        <v>868596</v>
      </c>
    </row>
    <row r="14" spans="1:15" x14ac:dyDescent="0.2">
      <c r="A14" t="s">
        <v>49</v>
      </c>
      <c r="B14" t="s">
        <v>14</v>
      </c>
      <c r="C14" t="s">
        <v>15</v>
      </c>
      <c r="D14" t="s">
        <v>36</v>
      </c>
      <c r="E14" t="s">
        <v>45</v>
      </c>
      <c r="F14" t="s">
        <v>46</v>
      </c>
      <c r="G14" t="s">
        <v>19</v>
      </c>
      <c r="H14" t="s">
        <v>46</v>
      </c>
      <c r="I14" t="s">
        <v>20</v>
      </c>
      <c r="J14" t="s">
        <v>47</v>
      </c>
      <c r="K14" t="s">
        <v>45</v>
      </c>
      <c r="L14" t="s">
        <v>48</v>
      </c>
      <c r="M14" t="s">
        <v>49</v>
      </c>
      <c r="N14" t="s">
        <v>49</v>
      </c>
      <c r="O14">
        <v>2398871</v>
      </c>
    </row>
    <row r="15" spans="1:15" x14ac:dyDescent="0.2">
      <c r="A15" t="s">
        <v>50</v>
      </c>
      <c r="B15" t="s">
        <v>14</v>
      </c>
      <c r="C15" t="s">
        <v>15</v>
      </c>
      <c r="D15" t="s">
        <v>51</v>
      </c>
      <c r="E15" t="s">
        <v>45</v>
      </c>
      <c r="F15" t="s">
        <v>52</v>
      </c>
      <c r="G15" t="s">
        <v>19</v>
      </c>
      <c r="H15" t="s">
        <v>52</v>
      </c>
      <c r="I15" t="s">
        <v>20</v>
      </c>
      <c r="J15" t="s">
        <v>47</v>
      </c>
      <c r="K15" t="s">
        <v>22</v>
      </c>
      <c r="L15" t="s">
        <v>27</v>
      </c>
      <c r="M15" t="s">
        <v>50</v>
      </c>
      <c r="N15" t="s">
        <v>50</v>
      </c>
      <c r="O15">
        <v>355602</v>
      </c>
    </row>
    <row r="16" spans="1:15" x14ac:dyDescent="0.2">
      <c r="A16" t="s">
        <v>53</v>
      </c>
      <c r="B16" t="s">
        <v>14</v>
      </c>
      <c r="C16" t="s">
        <v>15</v>
      </c>
      <c r="D16" t="s">
        <v>51</v>
      </c>
      <c r="E16" t="s">
        <v>45</v>
      </c>
      <c r="F16" t="s">
        <v>52</v>
      </c>
      <c r="G16" t="s">
        <v>19</v>
      </c>
      <c r="H16" t="s">
        <v>52</v>
      </c>
      <c r="I16" t="s">
        <v>20</v>
      </c>
      <c r="J16" t="s">
        <v>47</v>
      </c>
      <c r="K16" t="s">
        <v>22</v>
      </c>
      <c r="L16" t="s">
        <v>54</v>
      </c>
      <c r="M16" t="s">
        <v>53</v>
      </c>
      <c r="N16" t="s">
        <v>53</v>
      </c>
      <c r="O16">
        <v>1086448</v>
      </c>
    </row>
    <row r="17" spans="1:15" x14ac:dyDescent="0.2">
      <c r="A17" t="s">
        <v>55</v>
      </c>
      <c r="B17" t="s">
        <v>14</v>
      </c>
      <c r="C17" t="s">
        <v>15</v>
      </c>
      <c r="D17" t="s">
        <v>51</v>
      </c>
      <c r="E17" t="s">
        <v>45</v>
      </c>
      <c r="F17" t="s">
        <v>52</v>
      </c>
      <c r="G17" t="s">
        <v>19</v>
      </c>
      <c r="H17" t="s">
        <v>52</v>
      </c>
      <c r="I17" t="s">
        <v>20</v>
      </c>
      <c r="J17" t="s">
        <v>47</v>
      </c>
      <c r="K17" t="s">
        <v>22</v>
      </c>
      <c r="L17" t="s">
        <v>54</v>
      </c>
      <c r="M17" t="s">
        <v>55</v>
      </c>
      <c r="N17" t="s">
        <v>55</v>
      </c>
      <c r="O17">
        <v>559569</v>
      </c>
    </row>
    <row r="18" spans="1:15" x14ac:dyDescent="0.2">
      <c r="A18" t="s">
        <v>56</v>
      </c>
      <c r="B18" t="s">
        <v>14</v>
      </c>
      <c r="C18" t="s">
        <v>15</v>
      </c>
      <c r="D18" t="s">
        <v>51</v>
      </c>
      <c r="E18" t="s">
        <v>45</v>
      </c>
      <c r="F18" t="s">
        <v>57</v>
      </c>
      <c r="G18" t="s">
        <v>19</v>
      </c>
      <c r="H18" t="s">
        <v>58</v>
      </c>
      <c r="I18" t="s">
        <v>20</v>
      </c>
      <c r="J18" t="s">
        <v>47</v>
      </c>
      <c r="K18" t="s">
        <v>45</v>
      </c>
      <c r="L18" t="s">
        <v>59</v>
      </c>
      <c r="M18" t="s">
        <v>56</v>
      </c>
      <c r="N18" t="s">
        <v>56</v>
      </c>
      <c r="O18">
        <v>457969</v>
      </c>
    </row>
    <row r="19" spans="1:15" x14ac:dyDescent="0.2">
      <c r="A19" t="s">
        <v>60</v>
      </c>
      <c r="B19" t="s">
        <v>14</v>
      </c>
      <c r="C19" t="s">
        <v>15</v>
      </c>
      <c r="D19" t="s">
        <v>51</v>
      </c>
      <c r="E19" t="s">
        <v>45</v>
      </c>
      <c r="F19" t="s">
        <v>57</v>
      </c>
      <c r="G19" t="s">
        <v>19</v>
      </c>
      <c r="H19" t="s">
        <v>58</v>
      </c>
      <c r="I19" t="s">
        <v>20</v>
      </c>
      <c r="J19" t="s">
        <v>47</v>
      </c>
      <c r="K19" t="s">
        <v>45</v>
      </c>
      <c r="L19" t="s">
        <v>59</v>
      </c>
      <c r="M19" t="s">
        <v>60</v>
      </c>
      <c r="N19" t="s">
        <v>60</v>
      </c>
      <c r="O19">
        <v>410450</v>
      </c>
    </row>
    <row r="20" spans="1:15" x14ac:dyDescent="0.2">
      <c r="A20" t="s">
        <v>61</v>
      </c>
      <c r="B20" t="s">
        <v>14</v>
      </c>
      <c r="C20" t="s">
        <v>15</v>
      </c>
      <c r="D20" t="s">
        <v>51</v>
      </c>
      <c r="E20" t="s">
        <v>45</v>
      </c>
      <c r="F20" t="s">
        <v>57</v>
      </c>
      <c r="G20" t="s">
        <v>19</v>
      </c>
      <c r="H20" t="s">
        <v>58</v>
      </c>
      <c r="I20" t="s">
        <v>20</v>
      </c>
      <c r="J20" t="s">
        <v>47</v>
      </c>
      <c r="K20" t="s">
        <v>45</v>
      </c>
      <c r="L20" t="s">
        <v>62</v>
      </c>
      <c r="M20" t="s">
        <v>61</v>
      </c>
      <c r="N20" t="s">
        <v>61</v>
      </c>
      <c r="O20">
        <v>8615</v>
      </c>
    </row>
    <row r="21" spans="1:15" x14ac:dyDescent="0.2">
      <c r="A21" t="s">
        <v>63</v>
      </c>
      <c r="B21" t="s">
        <v>14</v>
      </c>
      <c r="C21" t="s">
        <v>15</v>
      </c>
      <c r="D21" t="s">
        <v>51</v>
      </c>
      <c r="E21" t="s">
        <v>45</v>
      </c>
      <c r="F21" t="s">
        <v>57</v>
      </c>
      <c r="G21" t="s">
        <v>19</v>
      </c>
      <c r="H21" t="s">
        <v>58</v>
      </c>
      <c r="I21" t="s">
        <v>20</v>
      </c>
      <c r="J21" t="s">
        <v>47</v>
      </c>
      <c r="K21" t="s">
        <v>45</v>
      </c>
      <c r="L21" t="s">
        <v>59</v>
      </c>
      <c r="M21" t="s">
        <v>63</v>
      </c>
      <c r="N21" t="s">
        <v>63</v>
      </c>
      <c r="O21">
        <v>205121</v>
      </c>
    </row>
    <row r="22" spans="1:15" x14ac:dyDescent="0.2">
      <c r="A22" t="s">
        <v>64</v>
      </c>
      <c r="B22" t="s">
        <v>14</v>
      </c>
      <c r="C22" t="s">
        <v>15</v>
      </c>
      <c r="D22" t="s">
        <v>51</v>
      </c>
      <c r="E22" t="s">
        <v>45</v>
      </c>
      <c r="F22" t="s">
        <v>65</v>
      </c>
      <c r="G22" t="s">
        <v>19</v>
      </c>
      <c r="H22" t="s">
        <v>65</v>
      </c>
      <c r="I22" t="s">
        <v>20</v>
      </c>
      <c r="J22" t="s">
        <v>47</v>
      </c>
      <c r="K22" t="s">
        <v>45</v>
      </c>
      <c r="L22" t="s">
        <v>66</v>
      </c>
      <c r="M22" t="s">
        <v>64</v>
      </c>
      <c r="N22" t="s">
        <v>64</v>
      </c>
      <c r="O22">
        <v>210305</v>
      </c>
    </row>
    <row r="23" spans="1:15" x14ac:dyDescent="0.2">
      <c r="A23" t="s">
        <v>67</v>
      </c>
      <c r="B23" t="s">
        <v>14</v>
      </c>
      <c r="C23" t="s">
        <v>15</v>
      </c>
      <c r="D23" t="s">
        <v>51</v>
      </c>
      <c r="E23" t="s">
        <v>45</v>
      </c>
      <c r="F23" t="s">
        <v>65</v>
      </c>
      <c r="G23" t="s">
        <v>19</v>
      </c>
      <c r="H23" t="s">
        <v>65</v>
      </c>
      <c r="I23" t="s">
        <v>20</v>
      </c>
      <c r="J23" t="s">
        <v>47</v>
      </c>
      <c r="K23" t="s">
        <v>45</v>
      </c>
      <c r="L23" t="s">
        <v>66</v>
      </c>
      <c r="M23" t="s">
        <v>67</v>
      </c>
      <c r="N23" t="s">
        <v>67</v>
      </c>
      <c r="O23">
        <v>41781</v>
      </c>
    </row>
    <row r="24" spans="1:15" x14ac:dyDescent="0.2">
      <c r="A24" t="s">
        <v>68</v>
      </c>
      <c r="B24" t="s">
        <v>14</v>
      </c>
      <c r="C24" t="s">
        <v>69</v>
      </c>
      <c r="D24" t="s">
        <v>70</v>
      </c>
      <c r="E24" t="s">
        <v>45</v>
      </c>
      <c r="F24" t="s">
        <v>65</v>
      </c>
      <c r="G24" t="s">
        <v>19</v>
      </c>
      <c r="H24" t="s">
        <v>65</v>
      </c>
      <c r="I24" t="s">
        <v>20</v>
      </c>
      <c r="J24" t="s">
        <v>47</v>
      </c>
      <c r="K24" t="s">
        <v>45</v>
      </c>
      <c r="L24" t="s">
        <v>71</v>
      </c>
      <c r="M24" t="s">
        <v>68</v>
      </c>
      <c r="N24" t="s">
        <v>68</v>
      </c>
      <c r="O24">
        <v>62587</v>
      </c>
    </row>
    <row r="25" spans="1:15" x14ac:dyDescent="0.2">
      <c r="A25" t="s">
        <v>72</v>
      </c>
      <c r="B25" t="s">
        <v>14</v>
      </c>
      <c r="C25" t="s">
        <v>69</v>
      </c>
      <c r="D25" t="s">
        <v>70</v>
      </c>
      <c r="E25" t="s">
        <v>45</v>
      </c>
      <c r="F25" t="s">
        <v>65</v>
      </c>
      <c r="G25" t="s">
        <v>19</v>
      </c>
      <c r="H25" t="s">
        <v>65</v>
      </c>
      <c r="I25" t="s">
        <v>20</v>
      </c>
      <c r="J25" t="s">
        <v>47</v>
      </c>
      <c r="K25" t="s">
        <v>45</v>
      </c>
      <c r="L25" t="s">
        <v>71</v>
      </c>
      <c r="M25" t="s">
        <v>72</v>
      </c>
      <c r="N25" t="s">
        <v>72</v>
      </c>
      <c r="O25">
        <v>272945</v>
      </c>
    </row>
    <row r="26" spans="1:15" x14ac:dyDescent="0.2">
      <c r="A26" t="s">
        <v>73</v>
      </c>
      <c r="B26" t="s">
        <v>14</v>
      </c>
      <c r="C26" t="s">
        <v>15</v>
      </c>
      <c r="D26" t="s">
        <v>36</v>
      </c>
      <c r="E26" t="s">
        <v>45</v>
      </c>
      <c r="F26" t="s">
        <v>74</v>
      </c>
      <c r="G26" t="s">
        <v>19</v>
      </c>
      <c r="H26" t="s">
        <v>74</v>
      </c>
      <c r="I26" t="s">
        <v>20</v>
      </c>
      <c r="J26" t="s">
        <v>47</v>
      </c>
      <c r="K26" t="s">
        <v>45</v>
      </c>
      <c r="L26" t="s">
        <v>66</v>
      </c>
      <c r="M26" t="s">
        <v>73</v>
      </c>
      <c r="N26" t="s">
        <v>73</v>
      </c>
      <c r="O26">
        <v>3346735</v>
      </c>
    </row>
    <row r="27" spans="1:15" x14ac:dyDescent="0.2">
      <c r="A27" t="s">
        <v>75</v>
      </c>
      <c r="B27" t="s">
        <v>14</v>
      </c>
      <c r="C27" t="s">
        <v>15</v>
      </c>
      <c r="D27" t="s">
        <v>36</v>
      </c>
      <c r="E27" t="s">
        <v>45</v>
      </c>
      <c r="F27" t="s">
        <v>74</v>
      </c>
      <c r="G27" t="s">
        <v>19</v>
      </c>
      <c r="H27" t="s">
        <v>74</v>
      </c>
      <c r="I27" t="s">
        <v>20</v>
      </c>
      <c r="J27" t="s">
        <v>47</v>
      </c>
      <c r="K27" t="s">
        <v>45</v>
      </c>
      <c r="L27" t="s">
        <v>66</v>
      </c>
      <c r="M27" t="s">
        <v>75</v>
      </c>
      <c r="N27" t="s">
        <v>75</v>
      </c>
      <c r="O27">
        <v>156878</v>
      </c>
    </row>
    <row r="28" spans="1:15" x14ac:dyDescent="0.2">
      <c r="A28" t="s">
        <v>76</v>
      </c>
      <c r="B28" t="s">
        <v>77</v>
      </c>
      <c r="C28" t="s">
        <v>69</v>
      </c>
      <c r="D28" t="s">
        <v>78</v>
      </c>
      <c r="E28" t="s">
        <v>45</v>
      </c>
      <c r="F28" t="s">
        <v>79</v>
      </c>
      <c r="G28" t="s">
        <v>19</v>
      </c>
      <c r="H28" t="s">
        <v>79</v>
      </c>
      <c r="I28" t="s">
        <v>20</v>
      </c>
      <c r="J28" t="s">
        <v>47</v>
      </c>
      <c r="K28" t="s">
        <v>80</v>
      </c>
      <c r="L28" t="s">
        <v>81</v>
      </c>
      <c r="M28" t="s">
        <v>76</v>
      </c>
      <c r="N28" t="s">
        <v>76</v>
      </c>
      <c r="O28">
        <v>226479</v>
      </c>
    </row>
    <row r="29" spans="1:15" x14ac:dyDescent="0.2">
      <c r="A29" t="s">
        <v>82</v>
      </c>
      <c r="B29" t="s">
        <v>77</v>
      </c>
      <c r="C29" t="s">
        <v>69</v>
      </c>
      <c r="D29" t="s">
        <v>78</v>
      </c>
      <c r="E29" t="s">
        <v>45</v>
      </c>
      <c r="F29" t="s">
        <v>79</v>
      </c>
      <c r="G29" t="s">
        <v>19</v>
      </c>
      <c r="H29" t="s">
        <v>79</v>
      </c>
      <c r="I29" t="s">
        <v>20</v>
      </c>
      <c r="J29" t="s">
        <v>47</v>
      </c>
      <c r="K29" t="s">
        <v>80</v>
      </c>
      <c r="L29" t="s">
        <v>83</v>
      </c>
      <c r="M29" t="s">
        <v>84</v>
      </c>
      <c r="N29" t="s">
        <v>82</v>
      </c>
      <c r="O29">
        <v>6160448</v>
      </c>
    </row>
    <row r="30" spans="1:15" x14ac:dyDescent="0.2">
      <c r="A30" t="s">
        <v>85</v>
      </c>
      <c r="B30" t="s">
        <v>77</v>
      </c>
      <c r="C30" t="s">
        <v>69</v>
      </c>
      <c r="D30" t="s">
        <v>78</v>
      </c>
      <c r="E30" t="s">
        <v>45</v>
      </c>
      <c r="F30" t="s">
        <v>79</v>
      </c>
      <c r="G30" t="s">
        <v>19</v>
      </c>
      <c r="H30" t="s">
        <v>79</v>
      </c>
      <c r="I30" t="s">
        <v>20</v>
      </c>
      <c r="J30" t="s">
        <v>47</v>
      </c>
      <c r="K30" t="s">
        <v>80</v>
      </c>
      <c r="L30" t="s">
        <v>83</v>
      </c>
      <c r="M30" t="s">
        <v>85</v>
      </c>
      <c r="N30" t="s">
        <v>85</v>
      </c>
      <c r="O30">
        <v>64800</v>
      </c>
    </row>
    <row r="31" spans="1:15" x14ac:dyDescent="0.2">
      <c r="A31" t="s">
        <v>86</v>
      </c>
      <c r="B31" t="s">
        <v>77</v>
      </c>
      <c r="C31" t="s">
        <v>69</v>
      </c>
      <c r="D31" t="s">
        <v>78</v>
      </c>
      <c r="E31" t="s">
        <v>45</v>
      </c>
      <c r="F31" t="s">
        <v>79</v>
      </c>
      <c r="G31" t="s">
        <v>19</v>
      </c>
      <c r="H31" t="s">
        <v>79</v>
      </c>
      <c r="I31" t="s">
        <v>20</v>
      </c>
      <c r="J31" t="s">
        <v>47</v>
      </c>
      <c r="K31" t="s">
        <v>80</v>
      </c>
      <c r="L31" t="s">
        <v>83</v>
      </c>
      <c r="M31" t="s">
        <v>84</v>
      </c>
      <c r="N31" t="s">
        <v>86</v>
      </c>
      <c r="O31">
        <v>1130657</v>
      </c>
    </row>
    <row r="32" spans="1:15" x14ac:dyDescent="0.2">
      <c r="A32" t="s">
        <v>87</v>
      </c>
      <c r="B32" t="s">
        <v>77</v>
      </c>
      <c r="C32" t="s">
        <v>69</v>
      </c>
      <c r="D32" t="s">
        <v>78</v>
      </c>
      <c r="E32" t="s">
        <v>45</v>
      </c>
      <c r="F32" t="s">
        <v>88</v>
      </c>
      <c r="G32" t="s">
        <v>19</v>
      </c>
      <c r="H32" t="s">
        <v>89</v>
      </c>
      <c r="I32" t="s">
        <v>20</v>
      </c>
      <c r="J32" t="s">
        <v>47</v>
      </c>
      <c r="K32" t="s">
        <v>80</v>
      </c>
      <c r="L32" t="s">
        <v>90</v>
      </c>
      <c r="M32" t="s">
        <v>87</v>
      </c>
      <c r="N32" t="s">
        <v>87</v>
      </c>
      <c r="O32">
        <v>1855700</v>
      </c>
    </row>
    <row r="33" spans="1:15" x14ac:dyDescent="0.2">
      <c r="A33" t="s">
        <v>91</v>
      </c>
      <c r="B33" t="s">
        <v>14</v>
      </c>
      <c r="C33" t="s">
        <v>69</v>
      </c>
      <c r="D33" t="s">
        <v>70</v>
      </c>
      <c r="E33" t="s">
        <v>45</v>
      </c>
      <c r="F33" t="s">
        <v>92</v>
      </c>
      <c r="G33" t="s">
        <v>19</v>
      </c>
      <c r="H33" t="s">
        <v>93</v>
      </c>
      <c r="I33" t="s">
        <v>20</v>
      </c>
      <c r="J33" t="s">
        <v>94</v>
      </c>
      <c r="K33" t="s">
        <v>95</v>
      </c>
      <c r="L33" t="s">
        <v>71</v>
      </c>
      <c r="M33" t="s">
        <v>91</v>
      </c>
      <c r="N33" t="s">
        <v>91</v>
      </c>
      <c r="O33">
        <v>172368</v>
      </c>
    </row>
    <row r="34" spans="1:15" x14ac:dyDescent="0.2">
      <c r="A34" t="s">
        <v>96</v>
      </c>
      <c r="B34" t="s">
        <v>14</v>
      </c>
      <c r="C34" t="s">
        <v>69</v>
      </c>
      <c r="D34" t="s">
        <v>70</v>
      </c>
      <c r="E34" t="s">
        <v>45</v>
      </c>
      <c r="F34" t="s">
        <v>97</v>
      </c>
      <c r="G34" t="s">
        <v>19</v>
      </c>
      <c r="H34" t="s">
        <v>97</v>
      </c>
      <c r="I34" t="s">
        <v>20</v>
      </c>
      <c r="J34" t="s">
        <v>47</v>
      </c>
      <c r="K34" t="s">
        <v>45</v>
      </c>
      <c r="L34" t="s">
        <v>98</v>
      </c>
      <c r="M34" t="s">
        <v>96</v>
      </c>
      <c r="N34" t="s">
        <v>96</v>
      </c>
      <c r="O34">
        <v>4591248</v>
      </c>
    </row>
    <row r="35" spans="1:15" x14ac:dyDescent="0.2">
      <c r="A35" t="s">
        <v>99</v>
      </c>
      <c r="B35" t="s">
        <v>14</v>
      </c>
      <c r="C35" t="s">
        <v>69</v>
      </c>
      <c r="D35" t="s">
        <v>70</v>
      </c>
      <c r="E35" t="s">
        <v>45</v>
      </c>
      <c r="F35" t="s">
        <v>97</v>
      </c>
      <c r="G35" t="s">
        <v>19</v>
      </c>
      <c r="H35" t="s">
        <v>97</v>
      </c>
      <c r="I35" t="s">
        <v>20</v>
      </c>
      <c r="J35" t="s">
        <v>47</v>
      </c>
      <c r="K35" t="s">
        <v>45</v>
      </c>
      <c r="L35" t="s">
        <v>98</v>
      </c>
      <c r="M35" t="s">
        <v>99</v>
      </c>
      <c r="N35" t="s">
        <v>99</v>
      </c>
      <c r="O35">
        <v>1366245</v>
      </c>
    </row>
    <row r="36" spans="1:15" x14ac:dyDescent="0.2">
      <c r="A36" t="s">
        <v>100</v>
      </c>
      <c r="B36" t="s">
        <v>101</v>
      </c>
      <c r="C36" t="s">
        <v>101</v>
      </c>
      <c r="D36" t="s">
        <v>102</v>
      </c>
      <c r="E36" t="s">
        <v>103</v>
      </c>
      <c r="F36" t="s">
        <v>57</v>
      </c>
      <c r="G36" t="s">
        <v>104</v>
      </c>
      <c r="H36" t="s">
        <v>105</v>
      </c>
      <c r="I36" t="s">
        <v>20</v>
      </c>
      <c r="J36" t="s">
        <v>47</v>
      </c>
      <c r="K36" t="s">
        <v>45</v>
      </c>
      <c r="L36" t="s">
        <v>101</v>
      </c>
      <c r="M36" t="s">
        <v>100</v>
      </c>
      <c r="N36" t="s">
        <v>100</v>
      </c>
      <c r="O36">
        <v>55078</v>
      </c>
    </row>
    <row r="37" spans="1:15" x14ac:dyDescent="0.2">
      <c r="A37" t="s">
        <v>106</v>
      </c>
      <c r="B37" t="s">
        <v>101</v>
      </c>
      <c r="C37" t="s">
        <v>101</v>
      </c>
      <c r="D37" t="s">
        <v>102</v>
      </c>
      <c r="E37" t="s">
        <v>103</v>
      </c>
      <c r="F37" t="s">
        <v>107</v>
      </c>
      <c r="G37" t="s">
        <v>104</v>
      </c>
      <c r="H37" t="s">
        <v>107</v>
      </c>
      <c r="I37" t="s">
        <v>20</v>
      </c>
      <c r="J37" t="s">
        <v>94</v>
      </c>
      <c r="K37" t="s">
        <v>95</v>
      </c>
      <c r="L37" t="s">
        <v>101</v>
      </c>
      <c r="M37" t="s">
        <v>106</v>
      </c>
      <c r="N37" t="s">
        <v>106</v>
      </c>
      <c r="O37">
        <v>286406</v>
      </c>
    </row>
    <row r="38" spans="1:15" x14ac:dyDescent="0.2">
      <c r="A38" t="s">
        <v>108</v>
      </c>
      <c r="B38" t="s">
        <v>109</v>
      </c>
      <c r="C38" t="s">
        <v>109</v>
      </c>
      <c r="D38" t="s">
        <v>110</v>
      </c>
      <c r="E38" t="s">
        <v>103</v>
      </c>
      <c r="F38" t="s">
        <v>107</v>
      </c>
      <c r="G38" t="s">
        <v>104</v>
      </c>
      <c r="H38" t="s">
        <v>107</v>
      </c>
      <c r="I38" t="s">
        <v>20</v>
      </c>
      <c r="J38" t="s">
        <v>94</v>
      </c>
      <c r="K38" t="s">
        <v>95</v>
      </c>
      <c r="L38" t="s">
        <v>109</v>
      </c>
      <c r="M38" t="s">
        <v>108</v>
      </c>
      <c r="N38" t="s">
        <v>108</v>
      </c>
      <c r="O38">
        <v>510162</v>
      </c>
    </row>
    <row r="39" spans="1:15" x14ac:dyDescent="0.2">
      <c r="A39" t="s">
        <v>111</v>
      </c>
      <c r="B39" t="s">
        <v>101</v>
      </c>
      <c r="C39" t="s">
        <v>101</v>
      </c>
      <c r="D39" t="s">
        <v>102</v>
      </c>
      <c r="E39" t="s">
        <v>103</v>
      </c>
      <c r="F39" t="s">
        <v>92</v>
      </c>
      <c r="G39" t="s">
        <v>104</v>
      </c>
      <c r="H39" t="s">
        <v>112</v>
      </c>
      <c r="I39" t="s">
        <v>20</v>
      </c>
      <c r="J39" t="s">
        <v>94</v>
      </c>
      <c r="K39" t="s">
        <v>95</v>
      </c>
      <c r="L39" t="s">
        <v>101</v>
      </c>
      <c r="M39" t="s">
        <v>111</v>
      </c>
      <c r="N39" t="s">
        <v>111</v>
      </c>
      <c r="O39">
        <v>752301</v>
      </c>
    </row>
    <row r="40" spans="1:15" x14ac:dyDescent="0.2">
      <c r="A40" t="s">
        <v>113</v>
      </c>
      <c r="B40" t="s">
        <v>101</v>
      </c>
      <c r="C40" t="s">
        <v>101</v>
      </c>
      <c r="D40" t="s">
        <v>102</v>
      </c>
      <c r="E40" t="s">
        <v>103</v>
      </c>
      <c r="F40" t="s">
        <v>114</v>
      </c>
      <c r="G40" t="s">
        <v>104</v>
      </c>
      <c r="H40" t="s">
        <v>114</v>
      </c>
      <c r="I40" t="s">
        <v>20</v>
      </c>
      <c r="J40" t="s">
        <v>94</v>
      </c>
      <c r="K40" t="s">
        <v>95</v>
      </c>
      <c r="L40" t="s">
        <v>101</v>
      </c>
      <c r="M40" t="s">
        <v>113</v>
      </c>
      <c r="N40" t="s">
        <v>113</v>
      </c>
      <c r="O40">
        <v>99487</v>
      </c>
    </row>
    <row r="41" spans="1:15" x14ac:dyDescent="0.2">
      <c r="A41" t="s">
        <v>115</v>
      </c>
      <c r="B41" t="s">
        <v>101</v>
      </c>
      <c r="C41" t="s">
        <v>101</v>
      </c>
      <c r="D41" t="s">
        <v>102</v>
      </c>
      <c r="E41" t="s">
        <v>103</v>
      </c>
      <c r="F41" t="s">
        <v>114</v>
      </c>
      <c r="G41" t="s">
        <v>104</v>
      </c>
      <c r="H41" t="s">
        <v>114</v>
      </c>
      <c r="I41" t="s">
        <v>20</v>
      </c>
      <c r="J41" t="s">
        <v>94</v>
      </c>
      <c r="K41" t="s">
        <v>95</v>
      </c>
      <c r="L41" t="s">
        <v>101</v>
      </c>
      <c r="M41" t="s">
        <v>115</v>
      </c>
      <c r="N41" t="s">
        <v>115</v>
      </c>
      <c r="O41">
        <v>600503</v>
      </c>
    </row>
    <row r="42" spans="1:15" x14ac:dyDescent="0.2">
      <c r="A42" t="s">
        <v>116</v>
      </c>
      <c r="B42" t="s">
        <v>101</v>
      </c>
      <c r="C42" t="s">
        <v>101</v>
      </c>
      <c r="D42" t="s">
        <v>102</v>
      </c>
      <c r="E42" t="s">
        <v>103</v>
      </c>
      <c r="F42" t="s">
        <v>114</v>
      </c>
      <c r="G42" t="s">
        <v>104</v>
      </c>
      <c r="H42" t="s">
        <v>114</v>
      </c>
      <c r="I42" t="s">
        <v>20</v>
      </c>
      <c r="J42" t="s">
        <v>94</v>
      </c>
      <c r="K42" t="s">
        <v>95</v>
      </c>
      <c r="L42" t="s">
        <v>101</v>
      </c>
      <c r="M42" t="s">
        <v>116</v>
      </c>
      <c r="N42" t="s">
        <v>116</v>
      </c>
      <c r="O42">
        <v>1305475</v>
      </c>
    </row>
    <row r="43" spans="1:15" x14ac:dyDescent="0.2">
      <c r="A43" t="s">
        <v>117</v>
      </c>
      <c r="B43" t="s">
        <v>109</v>
      </c>
      <c r="C43" t="s">
        <v>109</v>
      </c>
      <c r="D43" t="s">
        <v>110</v>
      </c>
      <c r="E43" t="s">
        <v>103</v>
      </c>
      <c r="F43" t="s">
        <v>118</v>
      </c>
      <c r="G43" t="s">
        <v>104</v>
      </c>
      <c r="H43" t="s">
        <v>118</v>
      </c>
      <c r="I43" t="s">
        <v>20</v>
      </c>
      <c r="J43" t="s">
        <v>119</v>
      </c>
      <c r="K43" t="s">
        <v>120</v>
      </c>
      <c r="L43" t="s">
        <v>109</v>
      </c>
      <c r="M43" t="s">
        <v>117</v>
      </c>
      <c r="N43" t="s">
        <v>117</v>
      </c>
      <c r="O43">
        <v>260630</v>
      </c>
    </row>
    <row r="44" spans="1:15" x14ac:dyDescent="0.2">
      <c r="A44" t="s">
        <v>121</v>
      </c>
      <c r="B44" t="s">
        <v>109</v>
      </c>
      <c r="C44" t="s">
        <v>109</v>
      </c>
      <c r="D44" t="s">
        <v>110</v>
      </c>
      <c r="E44" t="s">
        <v>103</v>
      </c>
      <c r="F44" t="s">
        <v>118</v>
      </c>
      <c r="G44" t="s">
        <v>104</v>
      </c>
      <c r="H44" t="s">
        <v>118</v>
      </c>
      <c r="I44" t="s">
        <v>20</v>
      </c>
      <c r="J44" t="s">
        <v>119</v>
      </c>
      <c r="K44" t="s">
        <v>120</v>
      </c>
      <c r="L44" t="s">
        <v>109</v>
      </c>
      <c r="M44" t="s">
        <v>121</v>
      </c>
      <c r="N44" t="s">
        <v>121</v>
      </c>
      <c r="O44">
        <v>5068222</v>
      </c>
    </row>
    <row r="45" spans="1:15" x14ac:dyDescent="0.2">
      <c r="A45" t="s">
        <v>122</v>
      </c>
      <c r="B45" t="s">
        <v>109</v>
      </c>
      <c r="C45" t="s">
        <v>109</v>
      </c>
      <c r="D45" t="s">
        <v>110</v>
      </c>
      <c r="E45" t="s">
        <v>103</v>
      </c>
      <c r="F45" t="s">
        <v>118</v>
      </c>
      <c r="G45" t="s">
        <v>104</v>
      </c>
      <c r="H45" t="s">
        <v>118</v>
      </c>
      <c r="I45" t="s">
        <v>20</v>
      </c>
      <c r="J45" t="s">
        <v>119</v>
      </c>
      <c r="K45" t="s">
        <v>120</v>
      </c>
      <c r="L45" t="s">
        <v>109</v>
      </c>
      <c r="M45" t="s">
        <v>122</v>
      </c>
      <c r="N45" t="s">
        <v>122</v>
      </c>
      <c r="O45">
        <v>137794</v>
      </c>
    </row>
    <row r="46" spans="1:15" x14ac:dyDescent="0.2">
      <c r="A46" t="s">
        <v>123</v>
      </c>
      <c r="B46" t="s">
        <v>109</v>
      </c>
      <c r="C46" t="s">
        <v>109</v>
      </c>
      <c r="D46" t="s">
        <v>110</v>
      </c>
      <c r="E46" t="s">
        <v>103</v>
      </c>
      <c r="F46" t="s">
        <v>124</v>
      </c>
      <c r="G46" t="s">
        <v>104</v>
      </c>
      <c r="H46" t="s">
        <v>124</v>
      </c>
      <c r="I46" t="s">
        <v>20</v>
      </c>
      <c r="J46" t="s">
        <v>125</v>
      </c>
      <c r="K46" t="s">
        <v>120</v>
      </c>
      <c r="L46" t="s">
        <v>109</v>
      </c>
      <c r="M46" t="s">
        <v>123</v>
      </c>
      <c r="N46" t="s">
        <v>123</v>
      </c>
      <c r="O46">
        <v>697822</v>
      </c>
    </row>
    <row r="47" spans="1:15" x14ac:dyDescent="0.2">
      <c r="A47" t="s">
        <v>126</v>
      </c>
      <c r="B47" t="s">
        <v>109</v>
      </c>
      <c r="C47" t="s">
        <v>109</v>
      </c>
      <c r="D47" t="s">
        <v>110</v>
      </c>
      <c r="E47" t="s">
        <v>127</v>
      </c>
      <c r="F47" t="s">
        <v>128</v>
      </c>
      <c r="G47" t="s">
        <v>104</v>
      </c>
      <c r="H47" t="s">
        <v>128</v>
      </c>
      <c r="I47" t="s">
        <v>20</v>
      </c>
      <c r="J47" t="s">
        <v>119</v>
      </c>
      <c r="K47" t="s">
        <v>120</v>
      </c>
      <c r="L47" t="s">
        <v>109</v>
      </c>
      <c r="M47" t="s">
        <v>126</v>
      </c>
      <c r="N47" t="s">
        <v>126</v>
      </c>
      <c r="O47">
        <v>848915</v>
      </c>
    </row>
    <row r="48" spans="1:15" x14ac:dyDescent="0.2">
      <c r="A48" t="s">
        <v>129</v>
      </c>
      <c r="B48" t="s">
        <v>101</v>
      </c>
      <c r="C48" t="s">
        <v>101</v>
      </c>
      <c r="D48" t="s">
        <v>130</v>
      </c>
      <c r="E48" t="s">
        <v>131</v>
      </c>
      <c r="F48" t="s">
        <v>88</v>
      </c>
      <c r="G48" t="s">
        <v>104</v>
      </c>
      <c r="H48" t="s">
        <v>132</v>
      </c>
      <c r="I48" t="s">
        <v>20</v>
      </c>
      <c r="J48" t="s">
        <v>47</v>
      </c>
      <c r="K48" t="s">
        <v>80</v>
      </c>
      <c r="L48" t="s">
        <v>101</v>
      </c>
      <c r="M48" t="s">
        <v>129</v>
      </c>
      <c r="N48" t="s">
        <v>129</v>
      </c>
      <c r="O48">
        <v>274556</v>
      </c>
    </row>
    <row r="49" spans="1:15" x14ac:dyDescent="0.2">
      <c r="A49" t="s">
        <v>133</v>
      </c>
      <c r="B49" t="s">
        <v>101</v>
      </c>
      <c r="C49" t="s">
        <v>101</v>
      </c>
      <c r="D49" t="s">
        <v>130</v>
      </c>
      <c r="E49" t="s">
        <v>131</v>
      </c>
      <c r="F49" t="s">
        <v>134</v>
      </c>
      <c r="G49" t="s">
        <v>104</v>
      </c>
      <c r="H49" t="s">
        <v>135</v>
      </c>
      <c r="I49" t="s">
        <v>20</v>
      </c>
      <c r="J49" t="s">
        <v>136</v>
      </c>
      <c r="K49" t="s">
        <v>137</v>
      </c>
      <c r="L49" t="s">
        <v>101</v>
      </c>
      <c r="M49" t="s">
        <v>133</v>
      </c>
      <c r="N49" t="s">
        <v>133</v>
      </c>
      <c r="O49">
        <v>887914</v>
      </c>
    </row>
    <row r="50" spans="1:15" x14ac:dyDescent="0.2">
      <c r="A50" t="s">
        <v>138</v>
      </c>
      <c r="B50" t="s">
        <v>101</v>
      </c>
      <c r="C50" t="s">
        <v>101</v>
      </c>
      <c r="D50" t="s">
        <v>130</v>
      </c>
      <c r="E50" t="s">
        <v>131</v>
      </c>
      <c r="F50" t="s">
        <v>139</v>
      </c>
      <c r="G50" t="s">
        <v>104</v>
      </c>
      <c r="H50" t="s">
        <v>139</v>
      </c>
      <c r="I50" t="s">
        <v>20</v>
      </c>
      <c r="J50" t="s">
        <v>136</v>
      </c>
      <c r="K50" t="s">
        <v>95</v>
      </c>
      <c r="L50" t="s">
        <v>101</v>
      </c>
      <c r="M50" t="s">
        <v>138</v>
      </c>
      <c r="N50" t="s">
        <v>138</v>
      </c>
      <c r="O50">
        <v>27735</v>
      </c>
    </row>
    <row r="51" spans="1:15" x14ac:dyDescent="0.2">
      <c r="A51" t="s">
        <v>140</v>
      </c>
      <c r="B51" t="s">
        <v>101</v>
      </c>
      <c r="C51" t="s">
        <v>101</v>
      </c>
      <c r="D51" t="s">
        <v>130</v>
      </c>
      <c r="E51" t="s">
        <v>131</v>
      </c>
      <c r="F51" t="s">
        <v>139</v>
      </c>
      <c r="G51" t="s">
        <v>104</v>
      </c>
      <c r="H51" t="s">
        <v>139</v>
      </c>
      <c r="I51" t="s">
        <v>20</v>
      </c>
      <c r="J51" t="s">
        <v>136</v>
      </c>
      <c r="K51" t="s">
        <v>95</v>
      </c>
      <c r="L51" t="s">
        <v>101</v>
      </c>
      <c r="M51" t="s">
        <v>140</v>
      </c>
      <c r="N51" t="s">
        <v>140</v>
      </c>
      <c r="O51">
        <v>2698218</v>
      </c>
    </row>
    <row r="52" spans="1:15" x14ac:dyDescent="0.2">
      <c r="A52" t="s">
        <v>141</v>
      </c>
      <c r="B52" t="s">
        <v>101</v>
      </c>
      <c r="C52" t="s">
        <v>101</v>
      </c>
      <c r="D52" t="s">
        <v>130</v>
      </c>
      <c r="E52" t="s">
        <v>131</v>
      </c>
      <c r="F52" t="s">
        <v>139</v>
      </c>
      <c r="G52" t="s">
        <v>104</v>
      </c>
      <c r="H52" t="s">
        <v>139</v>
      </c>
      <c r="I52" t="s">
        <v>20</v>
      </c>
      <c r="J52" t="s">
        <v>136</v>
      </c>
      <c r="K52" t="s">
        <v>95</v>
      </c>
      <c r="L52" t="s">
        <v>101</v>
      </c>
      <c r="M52" t="s">
        <v>141</v>
      </c>
      <c r="N52" t="s">
        <v>141</v>
      </c>
      <c r="O52">
        <v>1369440</v>
      </c>
    </row>
    <row r="53" spans="1:15" x14ac:dyDescent="0.2">
      <c r="A53" t="s">
        <v>142</v>
      </c>
      <c r="B53" t="s">
        <v>101</v>
      </c>
      <c r="C53" t="s">
        <v>101</v>
      </c>
      <c r="D53" t="s">
        <v>130</v>
      </c>
      <c r="E53" t="s">
        <v>103</v>
      </c>
      <c r="F53" t="s">
        <v>143</v>
      </c>
      <c r="G53" t="s">
        <v>104</v>
      </c>
      <c r="H53" t="s">
        <v>143</v>
      </c>
      <c r="I53" t="s">
        <v>20</v>
      </c>
      <c r="J53" t="s">
        <v>94</v>
      </c>
      <c r="K53" t="s">
        <v>95</v>
      </c>
      <c r="L53" t="s">
        <v>101</v>
      </c>
      <c r="M53" t="s">
        <v>142</v>
      </c>
      <c r="N53" t="s">
        <v>142</v>
      </c>
      <c r="O53">
        <v>112050</v>
      </c>
    </row>
    <row r="54" spans="1:15" x14ac:dyDescent="0.2">
      <c r="A54" t="s">
        <v>144</v>
      </c>
      <c r="B54" t="s">
        <v>101</v>
      </c>
      <c r="C54" t="s">
        <v>101</v>
      </c>
      <c r="D54" t="s">
        <v>130</v>
      </c>
      <c r="E54" t="s">
        <v>103</v>
      </c>
      <c r="F54" t="s">
        <v>143</v>
      </c>
      <c r="G54" t="s">
        <v>104</v>
      </c>
      <c r="H54" t="s">
        <v>143</v>
      </c>
      <c r="I54" t="s">
        <v>20</v>
      </c>
      <c r="J54" t="s">
        <v>94</v>
      </c>
      <c r="K54" t="s">
        <v>95</v>
      </c>
      <c r="L54" t="s">
        <v>101</v>
      </c>
      <c r="M54" t="s">
        <v>144</v>
      </c>
      <c r="N54" t="s">
        <v>144</v>
      </c>
      <c r="O54">
        <v>2858556</v>
      </c>
    </row>
    <row r="55" spans="1:15" x14ac:dyDescent="0.2">
      <c r="A55" t="s">
        <v>145</v>
      </c>
      <c r="B55" t="s">
        <v>101</v>
      </c>
      <c r="C55" t="s">
        <v>101</v>
      </c>
      <c r="D55" t="s">
        <v>130</v>
      </c>
      <c r="E55" t="s">
        <v>103</v>
      </c>
      <c r="F55" t="s">
        <v>146</v>
      </c>
      <c r="G55" t="s">
        <v>104</v>
      </c>
      <c r="H55" t="s">
        <v>146</v>
      </c>
      <c r="I55" t="s">
        <v>20</v>
      </c>
      <c r="J55" t="s">
        <v>125</v>
      </c>
      <c r="K55" t="s">
        <v>120</v>
      </c>
      <c r="L55" t="s">
        <v>101</v>
      </c>
      <c r="M55" t="s">
        <v>145</v>
      </c>
      <c r="N55" t="s">
        <v>145</v>
      </c>
      <c r="O55">
        <v>1660454</v>
      </c>
    </row>
    <row r="56" spans="1:15" x14ac:dyDescent="0.2">
      <c r="A56" t="s">
        <v>147</v>
      </c>
      <c r="B56" t="s">
        <v>101</v>
      </c>
      <c r="C56" t="s">
        <v>101</v>
      </c>
      <c r="D56" t="s">
        <v>130</v>
      </c>
      <c r="E56" t="s">
        <v>103</v>
      </c>
      <c r="F56" t="s">
        <v>146</v>
      </c>
      <c r="G56" t="s">
        <v>104</v>
      </c>
      <c r="H56" t="s">
        <v>146</v>
      </c>
      <c r="I56" t="s">
        <v>20</v>
      </c>
      <c r="J56" t="s">
        <v>125</v>
      </c>
      <c r="K56" t="s">
        <v>120</v>
      </c>
      <c r="L56" t="s">
        <v>101</v>
      </c>
      <c r="M56" t="s">
        <v>147</v>
      </c>
      <c r="N56" t="s">
        <v>147</v>
      </c>
      <c r="O56">
        <v>1009019</v>
      </c>
    </row>
    <row r="57" spans="1:15" x14ac:dyDescent="0.2">
      <c r="A57" t="s">
        <v>148</v>
      </c>
      <c r="B57" t="s">
        <v>101</v>
      </c>
      <c r="C57" t="s">
        <v>101</v>
      </c>
      <c r="D57" t="s">
        <v>130</v>
      </c>
      <c r="E57" t="s">
        <v>131</v>
      </c>
      <c r="F57" t="s">
        <v>149</v>
      </c>
      <c r="G57" t="s">
        <v>104</v>
      </c>
      <c r="H57" t="s">
        <v>149</v>
      </c>
      <c r="I57" t="s">
        <v>20</v>
      </c>
      <c r="J57" t="s">
        <v>150</v>
      </c>
      <c r="K57" t="s">
        <v>151</v>
      </c>
      <c r="L57" t="s">
        <v>101</v>
      </c>
      <c r="M57" t="s">
        <v>148</v>
      </c>
      <c r="N57" t="s">
        <v>148</v>
      </c>
      <c r="O57">
        <v>1065175</v>
      </c>
    </row>
    <row r="58" spans="1:15" x14ac:dyDescent="0.2">
      <c r="A58" t="s">
        <v>152</v>
      </c>
      <c r="B58" t="s">
        <v>101</v>
      </c>
      <c r="C58" t="s">
        <v>101</v>
      </c>
      <c r="D58" t="s">
        <v>130</v>
      </c>
      <c r="E58" t="s">
        <v>131</v>
      </c>
      <c r="F58" t="s">
        <v>134</v>
      </c>
      <c r="G58" t="s">
        <v>104</v>
      </c>
      <c r="H58" t="s">
        <v>135</v>
      </c>
      <c r="I58" t="s">
        <v>20</v>
      </c>
      <c r="J58" t="s">
        <v>136</v>
      </c>
      <c r="K58" t="s">
        <v>137</v>
      </c>
      <c r="L58" t="s">
        <v>101</v>
      </c>
      <c r="M58" t="s">
        <v>152</v>
      </c>
      <c r="N58" t="s">
        <v>152</v>
      </c>
      <c r="O58">
        <v>452334</v>
      </c>
    </row>
    <row r="59" spans="1:15" x14ac:dyDescent="0.2">
      <c r="A59" t="s">
        <v>153</v>
      </c>
      <c r="B59" t="s">
        <v>109</v>
      </c>
      <c r="C59" t="s">
        <v>109</v>
      </c>
      <c r="D59" t="s">
        <v>154</v>
      </c>
      <c r="E59" t="s">
        <v>131</v>
      </c>
      <c r="F59" t="s">
        <v>155</v>
      </c>
      <c r="G59" t="s">
        <v>104</v>
      </c>
      <c r="H59" t="s">
        <v>155</v>
      </c>
      <c r="I59" t="s">
        <v>20</v>
      </c>
      <c r="J59" t="s">
        <v>150</v>
      </c>
      <c r="K59" t="s">
        <v>151</v>
      </c>
      <c r="L59" t="s">
        <v>109</v>
      </c>
      <c r="M59" t="s">
        <v>153</v>
      </c>
      <c r="N59" t="s">
        <v>153</v>
      </c>
      <c r="O59">
        <v>4265849</v>
      </c>
    </row>
    <row r="60" spans="1:15" x14ac:dyDescent="0.2">
      <c r="A60" t="s">
        <v>156</v>
      </c>
      <c r="B60" t="s">
        <v>77</v>
      </c>
      <c r="C60" t="s">
        <v>69</v>
      </c>
      <c r="D60" t="s">
        <v>78</v>
      </c>
      <c r="E60" t="s">
        <v>45</v>
      </c>
      <c r="F60" t="s">
        <v>134</v>
      </c>
      <c r="G60" t="s">
        <v>19</v>
      </c>
      <c r="H60" t="s">
        <v>157</v>
      </c>
      <c r="I60" t="s">
        <v>20</v>
      </c>
      <c r="J60" t="s">
        <v>136</v>
      </c>
      <c r="K60" t="s">
        <v>137</v>
      </c>
      <c r="L60" t="s">
        <v>158</v>
      </c>
      <c r="M60" t="s">
        <v>156</v>
      </c>
      <c r="N60" t="s">
        <v>156</v>
      </c>
      <c r="O60">
        <v>875784</v>
      </c>
    </row>
    <row r="61" spans="1:15" x14ac:dyDescent="0.2">
      <c r="A61" t="s">
        <v>159</v>
      </c>
      <c r="B61" t="s">
        <v>160</v>
      </c>
      <c r="C61" t="s">
        <v>160</v>
      </c>
      <c r="D61" t="s">
        <v>160</v>
      </c>
      <c r="E61" t="s">
        <v>131</v>
      </c>
      <c r="F61" t="s">
        <v>134</v>
      </c>
      <c r="G61" t="s">
        <v>161</v>
      </c>
      <c r="H61" t="s">
        <v>162</v>
      </c>
      <c r="I61" t="s">
        <v>20</v>
      </c>
      <c r="J61" t="s">
        <v>136</v>
      </c>
      <c r="K61" t="s">
        <v>137</v>
      </c>
      <c r="L61" t="s">
        <v>160</v>
      </c>
      <c r="M61" t="s">
        <v>159</v>
      </c>
      <c r="N61" t="s">
        <v>159</v>
      </c>
      <c r="O61">
        <v>158359</v>
      </c>
    </row>
    <row r="62" spans="1:15" x14ac:dyDescent="0.2">
      <c r="A62" t="s">
        <v>163</v>
      </c>
      <c r="B62" t="s">
        <v>160</v>
      </c>
      <c r="C62" t="s">
        <v>160</v>
      </c>
      <c r="D62" t="s">
        <v>160</v>
      </c>
      <c r="E62" t="s">
        <v>131</v>
      </c>
      <c r="F62" t="s">
        <v>134</v>
      </c>
      <c r="G62" t="s">
        <v>161</v>
      </c>
      <c r="H62" t="s">
        <v>162</v>
      </c>
      <c r="I62" t="s">
        <v>20</v>
      </c>
      <c r="J62" t="s">
        <v>136</v>
      </c>
      <c r="K62" t="s">
        <v>137</v>
      </c>
      <c r="L62" t="s">
        <v>160</v>
      </c>
      <c r="M62" t="s">
        <v>163</v>
      </c>
      <c r="N62" t="s">
        <v>163</v>
      </c>
      <c r="O62">
        <v>420687</v>
      </c>
    </row>
    <row r="63" spans="1:15" x14ac:dyDescent="0.2">
      <c r="A63" t="s">
        <v>164</v>
      </c>
      <c r="B63" t="s">
        <v>160</v>
      </c>
      <c r="C63" t="s">
        <v>160</v>
      </c>
      <c r="D63" t="s">
        <v>160</v>
      </c>
      <c r="E63" t="s">
        <v>131</v>
      </c>
      <c r="F63" t="s">
        <v>134</v>
      </c>
      <c r="G63" t="s">
        <v>161</v>
      </c>
      <c r="H63" t="s">
        <v>162</v>
      </c>
      <c r="I63" t="s">
        <v>20</v>
      </c>
      <c r="J63" t="s">
        <v>136</v>
      </c>
      <c r="K63" t="s">
        <v>137</v>
      </c>
      <c r="L63" t="s">
        <v>160</v>
      </c>
      <c r="M63" t="s">
        <v>164</v>
      </c>
      <c r="N63" t="s">
        <v>164</v>
      </c>
      <c r="O63">
        <v>408192</v>
      </c>
    </row>
    <row r="64" spans="1:15" x14ac:dyDescent="0.2">
      <c r="A64" t="s">
        <v>165</v>
      </c>
      <c r="B64" t="s">
        <v>160</v>
      </c>
      <c r="C64" t="s">
        <v>160</v>
      </c>
      <c r="D64" t="s">
        <v>160</v>
      </c>
      <c r="E64" t="s">
        <v>131</v>
      </c>
      <c r="F64" t="s">
        <v>134</v>
      </c>
      <c r="G64" t="s">
        <v>161</v>
      </c>
      <c r="H64" t="s">
        <v>162</v>
      </c>
      <c r="I64" t="s">
        <v>20</v>
      </c>
      <c r="J64" t="s">
        <v>136</v>
      </c>
      <c r="K64" t="s">
        <v>137</v>
      </c>
      <c r="L64" t="s">
        <v>160</v>
      </c>
      <c r="M64" t="s">
        <v>165</v>
      </c>
      <c r="N64" t="s">
        <v>165</v>
      </c>
      <c r="O64">
        <v>10930571</v>
      </c>
    </row>
    <row r="65" spans="1:15" x14ac:dyDescent="0.2">
      <c r="A65" t="s">
        <v>166</v>
      </c>
      <c r="B65" t="s">
        <v>160</v>
      </c>
      <c r="C65" t="s">
        <v>160</v>
      </c>
      <c r="D65" t="s">
        <v>160</v>
      </c>
      <c r="E65" t="s">
        <v>131</v>
      </c>
      <c r="F65" t="s">
        <v>134</v>
      </c>
      <c r="G65" t="s">
        <v>161</v>
      </c>
      <c r="H65" t="s">
        <v>162</v>
      </c>
      <c r="I65" t="s">
        <v>20</v>
      </c>
      <c r="J65" t="s">
        <v>136</v>
      </c>
      <c r="K65" t="s">
        <v>137</v>
      </c>
      <c r="L65" t="s">
        <v>160</v>
      </c>
      <c r="M65" t="s">
        <v>166</v>
      </c>
      <c r="N65" t="s">
        <v>166</v>
      </c>
      <c r="O65">
        <v>3859594</v>
      </c>
    </row>
    <row r="66" spans="1:15" x14ac:dyDescent="0.2">
      <c r="A66" t="s">
        <v>167</v>
      </c>
      <c r="B66" t="s">
        <v>160</v>
      </c>
      <c r="C66" t="s">
        <v>160</v>
      </c>
      <c r="D66" t="s">
        <v>160</v>
      </c>
      <c r="E66" t="s">
        <v>131</v>
      </c>
      <c r="F66" t="s">
        <v>134</v>
      </c>
      <c r="G66" t="s">
        <v>161</v>
      </c>
      <c r="H66" t="s">
        <v>162</v>
      </c>
      <c r="I66" t="s">
        <v>20</v>
      </c>
      <c r="J66" t="s">
        <v>136</v>
      </c>
      <c r="K66" t="s">
        <v>137</v>
      </c>
      <c r="L66" t="s">
        <v>160</v>
      </c>
      <c r="M66" t="s">
        <v>167</v>
      </c>
      <c r="N66" t="s">
        <v>167</v>
      </c>
      <c r="O66">
        <v>4958269</v>
      </c>
    </row>
    <row r="67" spans="1:15" x14ac:dyDescent="0.2">
      <c r="A67" t="s">
        <v>168</v>
      </c>
      <c r="B67" t="s">
        <v>109</v>
      </c>
      <c r="C67" t="s">
        <v>109</v>
      </c>
      <c r="D67" t="s">
        <v>154</v>
      </c>
      <c r="E67" t="s">
        <v>131</v>
      </c>
      <c r="F67" t="s">
        <v>134</v>
      </c>
      <c r="G67" t="s">
        <v>104</v>
      </c>
      <c r="H67" t="s">
        <v>135</v>
      </c>
      <c r="I67" t="s">
        <v>20</v>
      </c>
      <c r="J67" t="s">
        <v>136</v>
      </c>
      <c r="K67" t="s">
        <v>137</v>
      </c>
      <c r="L67" t="s">
        <v>109</v>
      </c>
      <c r="M67" t="s">
        <v>168</v>
      </c>
      <c r="N67" t="s">
        <v>168</v>
      </c>
      <c r="O67">
        <v>1590760</v>
      </c>
    </row>
    <row r="68" spans="1:15" x14ac:dyDescent="0.2">
      <c r="A68" t="s">
        <v>169</v>
      </c>
      <c r="B68" t="s">
        <v>160</v>
      </c>
      <c r="C68" t="s">
        <v>160</v>
      </c>
      <c r="D68" t="s">
        <v>160</v>
      </c>
      <c r="E68" t="s">
        <v>131</v>
      </c>
      <c r="F68" t="s">
        <v>134</v>
      </c>
      <c r="G68" t="s">
        <v>161</v>
      </c>
      <c r="H68" t="s">
        <v>162</v>
      </c>
      <c r="I68" t="s">
        <v>20</v>
      </c>
      <c r="J68" t="s">
        <v>136</v>
      </c>
      <c r="K68" t="s">
        <v>137</v>
      </c>
      <c r="L68" t="s">
        <v>160</v>
      </c>
      <c r="M68" t="s">
        <v>169</v>
      </c>
      <c r="N68" t="s">
        <v>169</v>
      </c>
      <c r="O68">
        <v>6748367</v>
      </c>
    </row>
    <row r="69" spans="1:15" x14ac:dyDescent="0.2">
      <c r="A69" t="s">
        <v>170</v>
      </c>
      <c r="B69" t="s">
        <v>109</v>
      </c>
      <c r="C69" t="s">
        <v>109</v>
      </c>
      <c r="D69" t="s">
        <v>110</v>
      </c>
      <c r="E69" t="s">
        <v>103</v>
      </c>
      <c r="F69" t="s">
        <v>118</v>
      </c>
      <c r="G69" t="s">
        <v>104</v>
      </c>
      <c r="H69" t="s">
        <v>118</v>
      </c>
      <c r="I69" t="s">
        <v>20</v>
      </c>
      <c r="J69" t="s">
        <v>119</v>
      </c>
      <c r="K69" t="s">
        <v>120</v>
      </c>
      <c r="L69" t="s">
        <v>109</v>
      </c>
      <c r="M69" t="s">
        <v>170</v>
      </c>
      <c r="N69" t="s">
        <v>170</v>
      </c>
      <c r="O69">
        <v>326505</v>
      </c>
    </row>
    <row r="70" spans="1:15" x14ac:dyDescent="0.2">
      <c r="A70" t="s">
        <v>171</v>
      </c>
      <c r="B70" t="s">
        <v>109</v>
      </c>
      <c r="C70" t="s">
        <v>109</v>
      </c>
      <c r="D70" t="s">
        <v>110</v>
      </c>
      <c r="E70" t="s">
        <v>103</v>
      </c>
      <c r="F70" t="s">
        <v>124</v>
      </c>
      <c r="G70" t="s">
        <v>104</v>
      </c>
      <c r="H70" t="s">
        <v>124</v>
      </c>
      <c r="I70" t="s">
        <v>20</v>
      </c>
      <c r="J70" t="s">
        <v>125</v>
      </c>
      <c r="K70" t="s">
        <v>120</v>
      </c>
      <c r="L70" t="s">
        <v>109</v>
      </c>
      <c r="M70" t="s">
        <v>171</v>
      </c>
      <c r="N70" t="s">
        <v>171</v>
      </c>
      <c r="O70">
        <v>321679</v>
      </c>
    </row>
    <row r="71" spans="1:15" x14ac:dyDescent="0.2">
      <c r="A71" t="s">
        <v>172</v>
      </c>
      <c r="B71" t="s">
        <v>109</v>
      </c>
      <c r="C71" t="s">
        <v>109</v>
      </c>
      <c r="D71" t="s">
        <v>110</v>
      </c>
      <c r="E71" t="s">
        <v>103</v>
      </c>
      <c r="F71" t="s">
        <v>124</v>
      </c>
      <c r="G71" t="s">
        <v>104</v>
      </c>
      <c r="H71" t="s">
        <v>124</v>
      </c>
      <c r="I71" t="s">
        <v>20</v>
      </c>
      <c r="J71" t="s">
        <v>125</v>
      </c>
      <c r="K71" t="s">
        <v>120</v>
      </c>
      <c r="L71" t="s">
        <v>109</v>
      </c>
      <c r="M71" t="s">
        <v>172</v>
      </c>
      <c r="N71" t="s">
        <v>172</v>
      </c>
      <c r="O71">
        <v>2221987</v>
      </c>
    </row>
    <row r="72" spans="1:15" x14ac:dyDescent="0.2">
      <c r="A72" t="s">
        <v>173</v>
      </c>
      <c r="B72" t="s">
        <v>109</v>
      </c>
      <c r="C72" t="s">
        <v>109</v>
      </c>
      <c r="D72" t="s">
        <v>174</v>
      </c>
      <c r="E72" t="s">
        <v>103</v>
      </c>
      <c r="F72" t="s">
        <v>146</v>
      </c>
      <c r="G72" t="s">
        <v>104</v>
      </c>
      <c r="H72" t="s">
        <v>146</v>
      </c>
      <c r="I72" t="s">
        <v>20</v>
      </c>
      <c r="J72" t="s">
        <v>125</v>
      </c>
      <c r="K72" t="s">
        <v>120</v>
      </c>
      <c r="L72" t="s">
        <v>109</v>
      </c>
      <c r="M72" t="s">
        <v>173</v>
      </c>
      <c r="N72" t="s">
        <v>173</v>
      </c>
      <c r="O72">
        <v>123559</v>
      </c>
    </row>
    <row r="73" spans="1:15" x14ac:dyDescent="0.2">
      <c r="A73" t="s">
        <v>175</v>
      </c>
      <c r="B73" t="s">
        <v>109</v>
      </c>
      <c r="C73" t="s">
        <v>109</v>
      </c>
      <c r="D73" t="s">
        <v>174</v>
      </c>
      <c r="E73" t="s">
        <v>103</v>
      </c>
      <c r="F73" t="s">
        <v>146</v>
      </c>
      <c r="G73" t="s">
        <v>104</v>
      </c>
      <c r="H73" t="s">
        <v>146</v>
      </c>
      <c r="I73" t="s">
        <v>20</v>
      </c>
      <c r="J73" t="s">
        <v>125</v>
      </c>
      <c r="K73" t="s">
        <v>120</v>
      </c>
      <c r="L73" t="s">
        <v>109</v>
      </c>
      <c r="M73" t="s">
        <v>175</v>
      </c>
      <c r="N73" t="s">
        <v>175</v>
      </c>
      <c r="O73">
        <v>2898404</v>
      </c>
    </row>
    <row r="74" spans="1:15" x14ac:dyDescent="0.2">
      <c r="A74" t="s">
        <v>176</v>
      </c>
      <c r="B74" t="s">
        <v>109</v>
      </c>
      <c r="C74" t="s">
        <v>109</v>
      </c>
      <c r="D74" t="s">
        <v>174</v>
      </c>
      <c r="E74" t="s">
        <v>103</v>
      </c>
      <c r="F74" t="s">
        <v>146</v>
      </c>
      <c r="G74" t="s">
        <v>104</v>
      </c>
      <c r="H74" t="s">
        <v>146</v>
      </c>
      <c r="I74" t="s">
        <v>20</v>
      </c>
      <c r="J74" t="s">
        <v>125</v>
      </c>
      <c r="K74" t="s">
        <v>120</v>
      </c>
      <c r="L74" t="s">
        <v>109</v>
      </c>
      <c r="M74" t="s">
        <v>176</v>
      </c>
      <c r="N74" t="s">
        <v>176</v>
      </c>
      <c r="O74">
        <v>184836</v>
      </c>
    </row>
    <row r="75" spans="1:15" x14ac:dyDescent="0.2">
      <c r="A75" t="s">
        <v>177</v>
      </c>
      <c r="B75" t="s">
        <v>109</v>
      </c>
      <c r="C75" t="s">
        <v>109</v>
      </c>
      <c r="D75" t="s">
        <v>110</v>
      </c>
      <c r="E75" t="s">
        <v>127</v>
      </c>
      <c r="F75" t="s">
        <v>178</v>
      </c>
      <c r="G75" t="s">
        <v>104</v>
      </c>
      <c r="H75" t="s">
        <v>178</v>
      </c>
      <c r="I75" t="s">
        <v>20</v>
      </c>
      <c r="J75" t="s">
        <v>119</v>
      </c>
      <c r="K75" t="s">
        <v>120</v>
      </c>
      <c r="L75" t="s">
        <v>109</v>
      </c>
      <c r="M75" t="s">
        <v>177</v>
      </c>
      <c r="N75" t="s">
        <v>177</v>
      </c>
      <c r="O75">
        <v>242527</v>
      </c>
    </row>
    <row r="76" spans="1:15" x14ac:dyDescent="0.2">
      <c r="A76" t="s">
        <v>179</v>
      </c>
      <c r="B76" t="s">
        <v>109</v>
      </c>
      <c r="C76" t="s">
        <v>109</v>
      </c>
      <c r="D76" t="s">
        <v>110</v>
      </c>
      <c r="E76" t="s">
        <v>127</v>
      </c>
      <c r="F76" t="s">
        <v>128</v>
      </c>
      <c r="G76" t="s">
        <v>104</v>
      </c>
      <c r="H76" t="s">
        <v>128</v>
      </c>
      <c r="I76" t="s">
        <v>20</v>
      </c>
      <c r="J76" t="s">
        <v>119</v>
      </c>
      <c r="K76" t="s">
        <v>120</v>
      </c>
      <c r="L76" t="s">
        <v>109</v>
      </c>
      <c r="M76" t="s">
        <v>179</v>
      </c>
      <c r="N76" t="s">
        <v>179</v>
      </c>
      <c r="O76">
        <v>824494</v>
      </c>
    </row>
    <row r="77" spans="1:15" x14ac:dyDescent="0.2">
      <c r="A77" t="s">
        <v>180</v>
      </c>
      <c r="B77" t="s">
        <v>109</v>
      </c>
      <c r="C77" t="s">
        <v>109</v>
      </c>
      <c r="D77" t="s">
        <v>110</v>
      </c>
      <c r="E77" t="s">
        <v>127</v>
      </c>
      <c r="F77" t="s">
        <v>128</v>
      </c>
      <c r="G77" t="s">
        <v>104</v>
      </c>
      <c r="H77" t="s">
        <v>128</v>
      </c>
      <c r="I77" t="s">
        <v>20</v>
      </c>
      <c r="J77" t="s">
        <v>119</v>
      </c>
      <c r="K77" t="s">
        <v>120</v>
      </c>
      <c r="L77" t="s">
        <v>109</v>
      </c>
      <c r="M77" t="s">
        <v>180</v>
      </c>
      <c r="N77" t="s">
        <v>180</v>
      </c>
      <c r="O77">
        <v>952149</v>
      </c>
    </row>
    <row r="78" spans="1:15" x14ac:dyDescent="0.2">
      <c r="A78" t="s">
        <v>181</v>
      </c>
      <c r="B78" t="s">
        <v>109</v>
      </c>
      <c r="C78" t="s">
        <v>109</v>
      </c>
      <c r="D78" t="s">
        <v>110</v>
      </c>
      <c r="E78" t="s">
        <v>127</v>
      </c>
      <c r="F78" t="s">
        <v>128</v>
      </c>
      <c r="G78" t="s">
        <v>104</v>
      </c>
      <c r="H78" t="s">
        <v>128</v>
      </c>
      <c r="I78" t="s">
        <v>20</v>
      </c>
      <c r="J78" t="s">
        <v>119</v>
      </c>
      <c r="K78" t="s">
        <v>120</v>
      </c>
      <c r="L78" t="s">
        <v>109</v>
      </c>
      <c r="M78" t="s">
        <v>181</v>
      </c>
      <c r="N78" t="s">
        <v>181</v>
      </c>
      <c r="O78">
        <v>291964</v>
      </c>
    </row>
    <row r="79" spans="1:15" x14ac:dyDescent="0.2">
      <c r="A79" t="s">
        <v>182</v>
      </c>
      <c r="B79" t="s">
        <v>109</v>
      </c>
      <c r="C79" t="s">
        <v>109</v>
      </c>
      <c r="D79" t="s">
        <v>110</v>
      </c>
      <c r="E79" t="s">
        <v>127</v>
      </c>
      <c r="F79" t="s">
        <v>128</v>
      </c>
      <c r="G79" t="s">
        <v>104</v>
      </c>
      <c r="H79" t="s">
        <v>128</v>
      </c>
      <c r="I79" t="s">
        <v>20</v>
      </c>
      <c r="J79" t="s">
        <v>119</v>
      </c>
      <c r="K79" t="s">
        <v>120</v>
      </c>
      <c r="L79" t="s">
        <v>109</v>
      </c>
      <c r="M79" t="s">
        <v>182</v>
      </c>
      <c r="N79" t="s">
        <v>182</v>
      </c>
      <c r="O79">
        <v>790991</v>
      </c>
    </row>
    <row r="80" spans="1:15" x14ac:dyDescent="0.2">
      <c r="A80" t="s">
        <v>183</v>
      </c>
      <c r="B80" t="s">
        <v>109</v>
      </c>
      <c r="C80" t="s">
        <v>109</v>
      </c>
      <c r="D80" t="s">
        <v>110</v>
      </c>
      <c r="E80" t="s">
        <v>127</v>
      </c>
      <c r="F80" t="s">
        <v>128</v>
      </c>
      <c r="G80" t="s">
        <v>104</v>
      </c>
      <c r="H80" t="s">
        <v>128</v>
      </c>
      <c r="I80" t="s">
        <v>20</v>
      </c>
      <c r="J80" t="s">
        <v>119</v>
      </c>
      <c r="K80" t="s">
        <v>120</v>
      </c>
      <c r="L80" t="s">
        <v>109</v>
      </c>
      <c r="M80" t="s">
        <v>183</v>
      </c>
      <c r="N80" t="s">
        <v>183</v>
      </c>
      <c r="O80">
        <v>2252462</v>
      </c>
    </row>
    <row r="81" spans="1:15" x14ac:dyDescent="0.2">
      <c r="A81" t="s">
        <v>184</v>
      </c>
      <c r="B81" t="s">
        <v>185</v>
      </c>
      <c r="C81" t="s">
        <v>185</v>
      </c>
      <c r="D81" t="s">
        <v>186</v>
      </c>
      <c r="E81" t="s">
        <v>127</v>
      </c>
      <c r="F81" t="s">
        <v>187</v>
      </c>
      <c r="G81" t="s">
        <v>104</v>
      </c>
      <c r="H81" t="s">
        <v>187</v>
      </c>
      <c r="I81" t="s">
        <v>20</v>
      </c>
      <c r="J81" t="s">
        <v>125</v>
      </c>
      <c r="K81" t="s">
        <v>120</v>
      </c>
      <c r="L81" t="s">
        <v>185</v>
      </c>
      <c r="M81" t="s">
        <v>184</v>
      </c>
      <c r="N81" t="s">
        <v>184</v>
      </c>
      <c r="O81">
        <v>9489127</v>
      </c>
    </row>
    <row r="82" spans="1:15" x14ac:dyDescent="0.2">
      <c r="A82" t="s">
        <v>188</v>
      </c>
      <c r="B82" t="s">
        <v>109</v>
      </c>
      <c r="C82" t="s">
        <v>109</v>
      </c>
      <c r="D82" t="s">
        <v>174</v>
      </c>
      <c r="E82" t="s">
        <v>127</v>
      </c>
      <c r="F82" t="s">
        <v>187</v>
      </c>
      <c r="G82" t="s">
        <v>104</v>
      </c>
      <c r="H82" t="s">
        <v>187</v>
      </c>
      <c r="I82" t="s">
        <v>20</v>
      </c>
      <c r="J82" t="s">
        <v>125</v>
      </c>
      <c r="K82" t="s">
        <v>120</v>
      </c>
      <c r="L82" t="s">
        <v>109</v>
      </c>
      <c r="M82" t="s">
        <v>188</v>
      </c>
      <c r="N82" t="s">
        <v>188</v>
      </c>
      <c r="O82">
        <v>1713915</v>
      </c>
    </row>
    <row r="83" spans="1:15" x14ac:dyDescent="0.2">
      <c r="A83" t="s">
        <v>189</v>
      </c>
      <c r="B83" t="s">
        <v>109</v>
      </c>
      <c r="C83" t="s">
        <v>109</v>
      </c>
      <c r="D83" t="s">
        <v>174</v>
      </c>
      <c r="E83" t="s">
        <v>127</v>
      </c>
      <c r="F83" t="s">
        <v>187</v>
      </c>
      <c r="G83" t="s">
        <v>104</v>
      </c>
      <c r="H83" t="s">
        <v>187</v>
      </c>
      <c r="I83" t="s">
        <v>20</v>
      </c>
      <c r="J83" t="s">
        <v>125</v>
      </c>
      <c r="K83" t="s">
        <v>120</v>
      </c>
      <c r="L83" t="s">
        <v>109</v>
      </c>
      <c r="M83" t="s">
        <v>189</v>
      </c>
      <c r="N83" t="s">
        <v>189</v>
      </c>
      <c r="O83">
        <v>581156</v>
      </c>
    </row>
    <row r="84" spans="1:15" x14ac:dyDescent="0.2">
      <c r="A84" t="s">
        <v>190</v>
      </c>
      <c r="B84" t="s">
        <v>109</v>
      </c>
      <c r="C84" t="s">
        <v>109</v>
      </c>
      <c r="D84" t="s">
        <v>174</v>
      </c>
      <c r="E84" t="s">
        <v>127</v>
      </c>
      <c r="F84" t="s">
        <v>187</v>
      </c>
      <c r="G84" t="s">
        <v>104</v>
      </c>
      <c r="H84" t="s">
        <v>187</v>
      </c>
      <c r="I84" t="s">
        <v>20</v>
      </c>
      <c r="J84" t="s">
        <v>125</v>
      </c>
      <c r="K84" t="s">
        <v>120</v>
      </c>
      <c r="L84" t="s">
        <v>109</v>
      </c>
      <c r="M84" t="s">
        <v>190</v>
      </c>
      <c r="N84" t="s">
        <v>190</v>
      </c>
      <c r="O84">
        <v>925960</v>
      </c>
    </row>
    <row r="85" spans="1:15" x14ac:dyDescent="0.2">
      <c r="A85" t="s">
        <v>191</v>
      </c>
      <c r="B85" t="s">
        <v>109</v>
      </c>
      <c r="C85" t="s">
        <v>109</v>
      </c>
      <c r="D85" t="s">
        <v>174</v>
      </c>
      <c r="E85" t="s">
        <v>103</v>
      </c>
      <c r="F85" t="s">
        <v>146</v>
      </c>
      <c r="G85" t="s">
        <v>104</v>
      </c>
      <c r="H85" t="s">
        <v>146</v>
      </c>
      <c r="I85" t="s">
        <v>20</v>
      </c>
      <c r="J85" t="s">
        <v>125</v>
      </c>
      <c r="K85" t="s">
        <v>120</v>
      </c>
      <c r="L85" t="s">
        <v>109</v>
      </c>
      <c r="M85" t="s">
        <v>191</v>
      </c>
      <c r="N85" t="s">
        <v>191</v>
      </c>
      <c r="O85">
        <v>369194</v>
      </c>
    </row>
    <row r="86" spans="1:15" x14ac:dyDescent="0.2">
      <c r="A86" t="s">
        <v>192</v>
      </c>
      <c r="B86" t="s">
        <v>109</v>
      </c>
      <c r="C86" t="s">
        <v>109</v>
      </c>
      <c r="D86" t="s">
        <v>154</v>
      </c>
      <c r="E86" t="s">
        <v>131</v>
      </c>
      <c r="F86" t="s">
        <v>149</v>
      </c>
      <c r="G86" t="s">
        <v>104</v>
      </c>
      <c r="H86" t="s">
        <v>149</v>
      </c>
      <c r="I86" t="s">
        <v>20</v>
      </c>
      <c r="J86" t="s">
        <v>150</v>
      </c>
      <c r="K86" t="s">
        <v>151</v>
      </c>
      <c r="L86" t="s">
        <v>109</v>
      </c>
      <c r="M86" t="s">
        <v>192</v>
      </c>
      <c r="N86" t="s">
        <v>192</v>
      </c>
      <c r="O86">
        <v>2023179</v>
      </c>
    </row>
    <row r="87" spans="1:15" x14ac:dyDescent="0.2">
      <c r="A87" t="s">
        <v>193</v>
      </c>
      <c r="B87" t="s">
        <v>109</v>
      </c>
      <c r="C87" t="s">
        <v>109</v>
      </c>
      <c r="D87" t="s">
        <v>154</v>
      </c>
      <c r="E87" t="s">
        <v>131</v>
      </c>
      <c r="F87" t="s">
        <v>155</v>
      </c>
      <c r="G87" t="s">
        <v>104</v>
      </c>
      <c r="H87" t="s">
        <v>155</v>
      </c>
      <c r="I87" t="s">
        <v>20</v>
      </c>
      <c r="J87" t="s">
        <v>150</v>
      </c>
      <c r="K87" t="s">
        <v>151</v>
      </c>
      <c r="L87" t="s">
        <v>109</v>
      </c>
      <c r="M87" t="s">
        <v>193</v>
      </c>
      <c r="N87" t="s">
        <v>193</v>
      </c>
      <c r="O87">
        <v>331891</v>
      </c>
    </row>
    <row r="88" spans="1:15" x14ac:dyDescent="0.2">
      <c r="A88" t="s">
        <v>194</v>
      </c>
      <c r="B88" t="s">
        <v>109</v>
      </c>
      <c r="C88" t="s">
        <v>109</v>
      </c>
      <c r="D88" t="s">
        <v>154</v>
      </c>
      <c r="E88" t="s">
        <v>195</v>
      </c>
      <c r="F88" t="s">
        <v>196</v>
      </c>
      <c r="G88" t="s">
        <v>104</v>
      </c>
      <c r="H88" t="s">
        <v>196</v>
      </c>
      <c r="I88" t="s">
        <v>20</v>
      </c>
      <c r="J88" t="s">
        <v>150</v>
      </c>
      <c r="K88" t="s">
        <v>151</v>
      </c>
      <c r="L88" t="s">
        <v>109</v>
      </c>
      <c r="M88" t="s">
        <v>194</v>
      </c>
      <c r="N88" t="s">
        <v>194</v>
      </c>
      <c r="O88">
        <v>2288217</v>
      </c>
    </row>
    <row r="89" spans="1:15" x14ac:dyDescent="0.2">
      <c r="A89" t="s">
        <v>197</v>
      </c>
      <c r="B89" t="s">
        <v>198</v>
      </c>
      <c r="C89" t="s">
        <v>199</v>
      </c>
      <c r="D89" t="s">
        <v>199</v>
      </c>
      <c r="E89" t="s">
        <v>195</v>
      </c>
      <c r="F89" t="s">
        <v>196</v>
      </c>
      <c r="G89" t="s">
        <v>104</v>
      </c>
      <c r="H89" t="s">
        <v>196</v>
      </c>
      <c r="I89" t="s">
        <v>20</v>
      </c>
      <c r="J89" t="s">
        <v>150</v>
      </c>
      <c r="K89" t="s">
        <v>151</v>
      </c>
      <c r="L89" t="s">
        <v>200</v>
      </c>
      <c r="M89" t="s">
        <v>197</v>
      </c>
      <c r="N89" t="s">
        <v>197</v>
      </c>
      <c r="O89">
        <v>654828</v>
      </c>
    </row>
    <row r="90" spans="1:15" x14ac:dyDescent="0.2">
      <c r="A90" t="s">
        <v>201</v>
      </c>
      <c r="B90" t="s">
        <v>202</v>
      </c>
      <c r="C90" t="s">
        <v>199</v>
      </c>
      <c r="D90" t="s">
        <v>199</v>
      </c>
      <c r="E90" t="s">
        <v>195</v>
      </c>
      <c r="F90" t="s">
        <v>203</v>
      </c>
      <c r="G90" t="s">
        <v>104</v>
      </c>
      <c r="H90" t="s">
        <v>203</v>
      </c>
      <c r="I90" t="s">
        <v>20</v>
      </c>
      <c r="J90" t="s">
        <v>204</v>
      </c>
      <c r="K90" t="s">
        <v>205</v>
      </c>
      <c r="L90" t="s">
        <v>206</v>
      </c>
      <c r="M90" t="s">
        <v>201</v>
      </c>
      <c r="N90" t="s">
        <v>201</v>
      </c>
      <c r="O90">
        <v>2624318</v>
      </c>
    </row>
    <row r="91" spans="1:15" x14ac:dyDescent="0.2">
      <c r="A91" t="s">
        <v>207</v>
      </c>
      <c r="B91" t="s">
        <v>202</v>
      </c>
      <c r="C91" t="s">
        <v>199</v>
      </c>
      <c r="D91" t="s">
        <v>199</v>
      </c>
      <c r="E91" t="s">
        <v>195</v>
      </c>
      <c r="F91" t="s">
        <v>203</v>
      </c>
      <c r="G91" t="s">
        <v>104</v>
      </c>
      <c r="H91" t="s">
        <v>203</v>
      </c>
      <c r="I91" t="s">
        <v>20</v>
      </c>
      <c r="J91" t="s">
        <v>204</v>
      </c>
      <c r="K91" t="s">
        <v>205</v>
      </c>
      <c r="L91" t="s">
        <v>208</v>
      </c>
      <c r="M91" t="s">
        <v>207</v>
      </c>
      <c r="N91" t="s">
        <v>207</v>
      </c>
      <c r="O91">
        <v>2533381</v>
      </c>
    </row>
    <row r="92" spans="1:15" x14ac:dyDescent="0.2">
      <c r="A92" t="s">
        <v>209</v>
      </c>
      <c r="B92" t="s">
        <v>202</v>
      </c>
      <c r="C92" t="s">
        <v>199</v>
      </c>
      <c r="D92" t="s">
        <v>199</v>
      </c>
      <c r="E92" t="s">
        <v>210</v>
      </c>
      <c r="F92" t="s">
        <v>211</v>
      </c>
      <c r="G92" t="s">
        <v>104</v>
      </c>
      <c r="H92" t="s">
        <v>211</v>
      </c>
      <c r="I92" t="s">
        <v>20</v>
      </c>
      <c r="J92" t="s">
        <v>204</v>
      </c>
      <c r="K92" t="s">
        <v>212</v>
      </c>
      <c r="L92" t="s">
        <v>206</v>
      </c>
      <c r="M92" t="s">
        <v>209</v>
      </c>
      <c r="N92" t="s">
        <v>209</v>
      </c>
      <c r="O92">
        <v>1174308</v>
      </c>
    </row>
    <row r="93" spans="1:15" x14ac:dyDescent="0.2">
      <c r="A93" t="s">
        <v>213</v>
      </c>
      <c r="B93" t="s">
        <v>198</v>
      </c>
      <c r="C93" t="s">
        <v>199</v>
      </c>
      <c r="D93" t="s">
        <v>199</v>
      </c>
      <c r="E93" t="s">
        <v>195</v>
      </c>
      <c r="F93" t="s">
        <v>214</v>
      </c>
      <c r="G93" t="s">
        <v>104</v>
      </c>
      <c r="H93" t="s">
        <v>214</v>
      </c>
      <c r="I93" t="s">
        <v>20</v>
      </c>
      <c r="J93" t="s">
        <v>215</v>
      </c>
      <c r="K93" t="s">
        <v>205</v>
      </c>
      <c r="L93" t="s">
        <v>200</v>
      </c>
      <c r="M93" t="s">
        <v>213</v>
      </c>
      <c r="N93" t="s">
        <v>213</v>
      </c>
      <c r="O93">
        <v>7227750</v>
      </c>
    </row>
    <row r="94" spans="1:15" x14ac:dyDescent="0.2">
      <c r="A94" t="s">
        <v>216</v>
      </c>
      <c r="B94" t="s">
        <v>198</v>
      </c>
      <c r="C94" t="s">
        <v>199</v>
      </c>
      <c r="D94" t="s">
        <v>199</v>
      </c>
      <c r="E94" t="s">
        <v>195</v>
      </c>
      <c r="F94" t="s">
        <v>217</v>
      </c>
      <c r="G94" t="s">
        <v>104</v>
      </c>
      <c r="H94" t="s">
        <v>217</v>
      </c>
      <c r="I94" t="s">
        <v>20</v>
      </c>
      <c r="J94" t="s">
        <v>215</v>
      </c>
      <c r="K94" t="s">
        <v>218</v>
      </c>
      <c r="L94" t="s">
        <v>200</v>
      </c>
      <c r="M94" t="s">
        <v>216</v>
      </c>
      <c r="N94" t="s">
        <v>216</v>
      </c>
      <c r="O94">
        <v>704418</v>
      </c>
    </row>
    <row r="95" spans="1:15" x14ac:dyDescent="0.2">
      <c r="A95" t="s">
        <v>219</v>
      </c>
      <c r="B95" t="s">
        <v>202</v>
      </c>
      <c r="C95" t="s">
        <v>199</v>
      </c>
      <c r="D95" t="s">
        <v>199</v>
      </c>
      <c r="E95" t="s">
        <v>210</v>
      </c>
      <c r="F95" t="s">
        <v>220</v>
      </c>
      <c r="G95" t="s">
        <v>104</v>
      </c>
      <c r="H95" t="s">
        <v>220</v>
      </c>
      <c r="I95" t="s">
        <v>20</v>
      </c>
      <c r="J95" t="s">
        <v>204</v>
      </c>
      <c r="K95" t="s">
        <v>205</v>
      </c>
      <c r="L95" t="s">
        <v>206</v>
      </c>
      <c r="M95" t="s">
        <v>219</v>
      </c>
      <c r="N95" t="s">
        <v>219</v>
      </c>
      <c r="O95">
        <v>11180878</v>
      </c>
    </row>
    <row r="96" spans="1:15" x14ac:dyDescent="0.2">
      <c r="A96" t="s">
        <v>221</v>
      </c>
      <c r="B96" t="s">
        <v>222</v>
      </c>
      <c r="C96" t="s">
        <v>199</v>
      </c>
      <c r="D96" t="s">
        <v>199</v>
      </c>
      <c r="E96" t="s">
        <v>210</v>
      </c>
      <c r="F96" t="s">
        <v>223</v>
      </c>
      <c r="G96" t="s">
        <v>104</v>
      </c>
      <c r="H96" t="s">
        <v>223</v>
      </c>
      <c r="I96" t="s">
        <v>20</v>
      </c>
      <c r="J96" t="s">
        <v>204</v>
      </c>
      <c r="K96" t="s">
        <v>205</v>
      </c>
      <c r="L96" t="s">
        <v>224</v>
      </c>
      <c r="M96" t="s">
        <v>221</v>
      </c>
      <c r="N96" t="s">
        <v>221</v>
      </c>
      <c r="O96">
        <v>2074483</v>
      </c>
    </row>
    <row r="97" spans="1:15" x14ac:dyDescent="0.2">
      <c r="A97" t="s">
        <v>225</v>
      </c>
      <c r="B97" t="s">
        <v>222</v>
      </c>
      <c r="C97" t="s">
        <v>199</v>
      </c>
      <c r="D97" t="s">
        <v>199</v>
      </c>
      <c r="E97" t="s">
        <v>210</v>
      </c>
      <c r="F97" t="s">
        <v>223</v>
      </c>
      <c r="G97" t="s">
        <v>104</v>
      </c>
      <c r="H97" t="s">
        <v>223</v>
      </c>
      <c r="I97" t="s">
        <v>20</v>
      </c>
      <c r="J97" t="s">
        <v>204</v>
      </c>
      <c r="K97" t="s">
        <v>205</v>
      </c>
      <c r="L97" t="s">
        <v>226</v>
      </c>
      <c r="M97" t="s">
        <v>225</v>
      </c>
      <c r="N97" t="s">
        <v>225</v>
      </c>
      <c r="O97">
        <v>3404348</v>
      </c>
    </row>
    <row r="98" spans="1:15" x14ac:dyDescent="0.2">
      <c r="A98" t="s">
        <v>227</v>
      </c>
      <c r="B98" t="s">
        <v>222</v>
      </c>
      <c r="C98" t="s">
        <v>199</v>
      </c>
      <c r="D98" t="s">
        <v>199</v>
      </c>
      <c r="E98" t="s">
        <v>210</v>
      </c>
      <c r="F98" t="s">
        <v>228</v>
      </c>
      <c r="G98" t="s">
        <v>104</v>
      </c>
      <c r="H98" t="s">
        <v>228</v>
      </c>
      <c r="I98" t="s">
        <v>20</v>
      </c>
      <c r="J98" t="s">
        <v>215</v>
      </c>
      <c r="K98" t="s">
        <v>205</v>
      </c>
      <c r="L98" t="s">
        <v>224</v>
      </c>
      <c r="M98" t="s">
        <v>227</v>
      </c>
      <c r="N98" t="s">
        <v>227</v>
      </c>
      <c r="O98">
        <v>5567260</v>
      </c>
    </row>
    <row r="99" spans="1:15" x14ac:dyDescent="0.2">
      <c r="A99" t="s">
        <v>229</v>
      </c>
      <c r="B99" t="s">
        <v>222</v>
      </c>
      <c r="C99" t="s">
        <v>199</v>
      </c>
      <c r="D99" t="s">
        <v>199</v>
      </c>
      <c r="E99" t="s">
        <v>210</v>
      </c>
      <c r="F99" t="s">
        <v>228</v>
      </c>
      <c r="G99" t="s">
        <v>104</v>
      </c>
      <c r="H99" t="s">
        <v>228</v>
      </c>
      <c r="I99" t="s">
        <v>20</v>
      </c>
      <c r="J99" t="s">
        <v>215</v>
      </c>
      <c r="K99" t="s">
        <v>205</v>
      </c>
      <c r="L99" t="s">
        <v>230</v>
      </c>
      <c r="M99" t="s">
        <v>229</v>
      </c>
      <c r="N99" t="s">
        <v>229</v>
      </c>
      <c r="O99">
        <v>5478764</v>
      </c>
    </row>
    <row r="100" spans="1:15" x14ac:dyDescent="0.2">
      <c r="A100" t="s">
        <v>231</v>
      </c>
      <c r="B100" t="s">
        <v>185</v>
      </c>
      <c r="C100" t="s">
        <v>185</v>
      </c>
      <c r="D100" t="s">
        <v>232</v>
      </c>
      <c r="E100" t="s">
        <v>210</v>
      </c>
      <c r="F100" t="s">
        <v>233</v>
      </c>
      <c r="G100" t="s">
        <v>104</v>
      </c>
      <c r="H100" t="s">
        <v>233</v>
      </c>
      <c r="I100" t="s">
        <v>20</v>
      </c>
      <c r="J100" t="s">
        <v>215</v>
      </c>
      <c r="K100" t="s">
        <v>218</v>
      </c>
      <c r="L100" t="s">
        <v>185</v>
      </c>
      <c r="M100" t="s">
        <v>231</v>
      </c>
      <c r="N100" t="s">
        <v>231</v>
      </c>
      <c r="O100">
        <v>7364395</v>
      </c>
    </row>
    <row r="101" spans="1:15" x14ac:dyDescent="0.2">
      <c r="A101" t="s">
        <v>234</v>
      </c>
      <c r="B101" t="s">
        <v>185</v>
      </c>
      <c r="C101" t="s">
        <v>185</v>
      </c>
      <c r="D101" t="s">
        <v>232</v>
      </c>
      <c r="E101" t="s">
        <v>210</v>
      </c>
      <c r="F101" t="s">
        <v>233</v>
      </c>
      <c r="G101" t="s">
        <v>104</v>
      </c>
      <c r="H101" t="s">
        <v>233</v>
      </c>
      <c r="I101" t="s">
        <v>20</v>
      </c>
      <c r="J101" t="s">
        <v>215</v>
      </c>
      <c r="K101" t="s">
        <v>218</v>
      </c>
      <c r="L101" t="s">
        <v>185</v>
      </c>
      <c r="M101" t="s">
        <v>234</v>
      </c>
      <c r="N101" t="s">
        <v>234</v>
      </c>
      <c r="O101">
        <v>251129</v>
      </c>
    </row>
    <row r="102" spans="1:15" x14ac:dyDescent="0.2">
      <c r="A102" t="s">
        <v>235</v>
      </c>
      <c r="B102" t="s">
        <v>236</v>
      </c>
      <c r="C102" t="s">
        <v>237</v>
      </c>
      <c r="D102" t="s">
        <v>237</v>
      </c>
      <c r="E102" t="s">
        <v>210</v>
      </c>
      <c r="F102" t="s">
        <v>211</v>
      </c>
      <c r="G102" t="s">
        <v>104</v>
      </c>
      <c r="H102" t="s">
        <v>211</v>
      </c>
      <c r="I102" t="s">
        <v>20</v>
      </c>
      <c r="J102" t="s">
        <v>204</v>
      </c>
      <c r="K102" t="s">
        <v>212</v>
      </c>
      <c r="L102" t="s">
        <v>238</v>
      </c>
      <c r="M102" t="s">
        <v>235</v>
      </c>
      <c r="N102" t="s">
        <v>235</v>
      </c>
      <c r="O102">
        <v>14352997</v>
      </c>
    </row>
    <row r="103" spans="1:15" x14ac:dyDescent="0.2">
      <c r="A103" t="s">
        <v>239</v>
      </c>
      <c r="B103" t="s">
        <v>236</v>
      </c>
      <c r="C103" t="s">
        <v>237</v>
      </c>
      <c r="D103" t="s">
        <v>237</v>
      </c>
      <c r="E103" t="s">
        <v>210</v>
      </c>
      <c r="F103" t="s">
        <v>211</v>
      </c>
      <c r="G103" t="s">
        <v>104</v>
      </c>
      <c r="H103" t="s">
        <v>211</v>
      </c>
      <c r="I103" t="s">
        <v>20</v>
      </c>
      <c r="J103" t="s">
        <v>204</v>
      </c>
      <c r="K103" t="s">
        <v>212</v>
      </c>
      <c r="L103" t="s">
        <v>240</v>
      </c>
      <c r="M103" t="s">
        <v>239</v>
      </c>
      <c r="N103" t="s">
        <v>239</v>
      </c>
      <c r="O103">
        <v>7844910</v>
      </c>
    </row>
    <row r="104" spans="1:15" x14ac:dyDescent="0.2">
      <c r="A104" t="s">
        <v>241</v>
      </c>
      <c r="B104" t="s">
        <v>109</v>
      </c>
      <c r="C104" t="s">
        <v>109</v>
      </c>
      <c r="D104" t="s">
        <v>174</v>
      </c>
      <c r="E104" t="s">
        <v>127</v>
      </c>
      <c r="F104" t="s">
        <v>178</v>
      </c>
      <c r="G104" t="s">
        <v>104</v>
      </c>
      <c r="H104" t="s">
        <v>178</v>
      </c>
      <c r="I104" t="s">
        <v>20</v>
      </c>
      <c r="J104" t="s">
        <v>119</v>
      </c>
      <c r="K104" t="s">
        <v>120</v>
      </c>
      <c r="L104" t="s">
        <v>109</v>
      </c>
      <c r="M104" t="s">
        <v>241</v>
      </c>
      <c r="N104" t="s">
        <v>241</v>
      </c>
      <c r="O104">
        <v>9291599</v>
      </c>
    </row>
    <row r="105" spans="1:15" x14ac:dyDescent="0.2">
      <c r="A105" t="s">
        <v>242</v>
      </c>
      <c r="B105" t="s">
        <v>185</v>
      </c>
      <c r="C105" t="s">
        <v>185</v>
      </c>
      <c r="D105" t="s">
        <v>186</v>
      </c>
      <c r="E105" t="s">
        <v>127</v>
      </c>
      <c r="F105" t="s">
        <v>178</v>
      </c>
      <c r="G105" t="s">
        <v>104</v>
      </c>
      <c r="H105" t="s">
        <v>178</v>
      </c>
      <c r="I105" t="s">
        <v>20</v>
      </c>
      <c r="J105" t="s">
        <v>119</v>
      </c>
      <c r="K105" t="s">
        <v>120</v>
      </c>
      <c r="L105" t="s">
        <v>185</v>
      </c>
      <c r="M105" t="s">
        <v>242</v>
      </c>
      <c r="N105" t="s">
        <v>242</v>
      </c>
      <c r="O105">
        <v>606333</v>
      </c>
    </row>
    <row r="106" spans="1:15" x14ac:dyDescent="0.2">
      <c r="A106" t="s">
        <v>243</v>
      </c>
      <c r="B106" t="s">
        <v>109</v>
      </c>
      <c r="C106" t="s">
        <v>109</v>
      </c>
      <c r="D106" t="s">
        <v>174</v>
      </c>
      <c r="E106" t="s">
        <v>127</v>
      </c>
      <c r="F106" t="s">
        <v>244</v>
      </c>
      <c r="G106" t="s">
        <v>104</v>
      </c>
      <c r="H106" t="s">
        <v>244</v>
      </c>
      <c r="I106" t="s">
        <v>20</v>
      </c>
      <c r="J106" t="s">
        <v>125</v>
      </c>
      <c r="K106" t="s">
        <v>120</v>
      </c>
      <c r="L106" t="s">
        <v>109</v>
      </c>
      <c r="M106" t="s">
        <v>243</v>
      </c>
      <c r="N106" t="s">
        <v>243</v>
      </c>
      <c r="O106">
        <v>3656917</v>
      </c>
    </row>
    <row r="107" spans="1:15" x14ac:dyDescent="0.2">
      <c r="A107" t="s">
        <v>245</v>
      </c>
      <c r="B107" t="s">
        <v>109</v>
      </c>
      <c r="C107" t="s">
        <v>109</v>
      </c>
      <c r="D107" t="s">
        <v>174</v>
      </c>
      <c r="E107" t="s">
        <v>127</v>
      </c>
      <c r="F107" t="s">
        <v>244</v>
      </c>
      <c r="G107" t="s">
        <v>104</v>
      </c>
      <c r="H107" t="s">
        <v>244</v>
      </c>
      <c r="I107" t="s">
        <v>20</v>
      </c>
      <c r="J107" t="s">
        <v>125</v>
      </c>
      <c r="K107" t="s">
        <v>120</v>
      </c>
      <c r="L107" t="s">
        <v>109</v>
      </c>
      <c r="M107" t="s">
        <v>245</v>
      </c>
      <c r="N107" t="s">
        <v>245</v>
      </c>
      <c r="O107">
        <v>1361332</v>
      </c>
    </row>
    <row r="108" spans="1:15" x14ac:dyDescent="0.2">
      <c r="A108" t="s">
        <v>246</v>
      </c>
      <c r="B108" t="s">
        <v>109</v>
      </c>
      <c r="C108" t="s">
        <v>109</v>
      </c>
      <c r="D108" t="s">
        <v>174</v>
      </c>
      <c r="E108" t="s">
        <v>127</v>
      </c>
      <c r="F108" t="s">
        <v>244</v>
      </c>
      <c r="G108" t="s">
        <v>104</v>
      </c>
      <c r="H108" t="s">
        <v>244</v>
      </c>
      <c r="I108" t="s">
        <v>20</v>
      </c>
      <c r="J108" t="s">
        <v>125</v>
      </c>
      <c r="K108" t="s">
        <v>120</v>
      </c>
      <c r="L108" t="s">
        <v>109</v>
      </c>
      <c r="M108" t="s">
        <v>246</v>
      </c>
      <c r="N108" t="s">
        <v>246</v>
      </c>
      <c r="O108">
        <v>1906026</v>
      </c>
    </row>
    <row r="109" spans="1:15" x14ac:dyDescent="0.2">
      <c r="A109" t="s">
        <v>247</v>
      </c>
      <c r="B109" t="s">
        <v>109</v>
      </c>
      <c r="C109" t="s">
        <v>109</v>
      </c>
      <c r="D109" t="s">
        <v>174</v>
      </c>
      <c r="E109" t="s">
        <v>195</v>
      </c>
      <c r="F109" t="s">
        <v>217</v>
      </c>
      <c r="G109" t="s">
        <v>104</v>
      </c>
      <c r="H109" t="s">
        <v>217</v>
      </c>
      <c r="I109" t="s">
        <v>20</v>
      </c>
      <c r="J109" t="s">
        <v>215</v>
      </c>
      <c r="K109" t="s">
        <v>218</v>
      </c>
      <c r="L109" t="s">
        <v>109</v>
      </c>
      <c r="M109" t="s">
        <v>247</v>
      </c>
      <c r="N109" t="s">
        <v>247</v>
      </c>
      <c r="O109">
        <v>362350</v>
      </c>
    </row>
    <row r="110" spans="1:15" x14ac:dyDescent="0.2">
      <c r="A110" t="s">
        <v>248</v>
      </c>
      <c r="B110" t="s">
        <v>185</v>
      </c>
      <c r="C110" t="s">
        <v>185</v>
      </c>
      <c r="D110" t="s">
        <v>232</v>
      </c>
      <c r="E110" t="s">
        <v>195</v>
      </c>
      <c r="F110" t="s">
        <v>217</v>
      </c>
      <c r="G110" t="s">
        <v>104</v>
      </c>
      <c r="H110" t="s">
        <v>217</v>
      </c>
      <c r="I110" t="s">
        <v>20</v>
      </c>
      <c r="J110" t="s">
        <v>215</v>
      </c>
      <c r="K110" t="s">
        <v>218</v>
      </c>
      <c r="L110" t="s">
        <v>185</v>
      </c>
      <c r="M110" t="s">
        <v>248</v>
      </c>
      <c r="N110" t="s">
        <v>248</v>
      </c>
      <c r="O110">
        <v>3248424</v>
      </c>
    </row>
    <row r="111" spans="1:15" x14ac:dyDescent="0.2">
      <c r="A111" t="s">
        <v>249</v>
      </c>
      <c r="B111" t="s">
        <v>185</v>
      </c>
      <c r="C111" t="s">
        <v>185</v>
      </c>
      <c r="D111" t="s">
        <v>232</v>
      </c>
      <c r="E111" t="s">
        <v>195</v>
      </c>
      <c r="F111" t="s">
        <v>217</v>
      </c>
      <c r="G111" t="s">
        <v>104</v>
      </c>
      <c r="H111" t="s">
        <v>217</v>
      </c>
      <c r="I111" t="s">
        <v>20</v>
      </c>
      <c r="J111" t="s">
        <v>215</v>
      </c>
      <c r="K111" t="s">
        <v>218</v>
      </c>
      <c r="L111" t="s">
        <v>185</v>
      </c>
      <c r="M111" t="s">
        <v>249</v>
      </c>
      <c r="N111" t="s">
        <v>249</v>
      </c>
      <c r="O111">
        <v>273180</v>
      </c>
    </row>
    <row r="112" spans="1:15" x14ac:dyDescent="0.2">
      <c r="A112" t="s">
        <v>250</v>
      </c>
      <c r="B112" t="s">
        <v>185</v>
      </c>
      <c r="C112" t="s">
        <v>185</v>
      </c>
      <c r="D112" t="s">
        <v>232</v>
      </c>
      <c r="E112" t="s">
        <v>127</v>
      </c>
      <c r="F112" t="s">
        <v>251</v>
      </c>
      <c r="G112" t="s">
        <v>104</v>
      </c>
      <c r="H112" t="s">
        <v>251</v>
      </c>
      <c r="I112" t="s">
        <v>20</v>
      </c>
      <c r="J112" t="s">
        <v>125</v>
      </c>
      <c r="K112" t="s">
        <v>218</v>
      </c>
      <c r="L112" t="s">
        <v>185</v>
      </c>
      <c r="M112" t="s">
        <v>250</v>
      </c>
      <c r="N112" t="s">
        <v>250</v>
      </c>
      <c r="O112">
        <v>4547881</v>
      </c>
    </row>
    <row r="113" spans="1:15" x14ac:dyDescent="0.2">
      <c r="A113" t="s">
        <v>252</v>
      </c>
      <c r="B113" t="s">
        <v>185</v>
      </c>
      <c r="C113" t="s">
        <v>185</v>
      </c>
      <c r="D113" t="s">
        <v>232</v>
      </c>
      <c r="E113" t="s">
        <v>127</v>
      </c>
      <c r="F113" t="s">
        <v>251</v>
      </c>
      <c r="G113" t="s">
        <v>104</v>
      </c>
      <c r="H113" t="s">
        <v>251</v>
      </c>
      <c r="I113" t="s">
        <v>20</v>
      </c>
      <c r="J113" t="s">
        <v>125</v>
      </c>
      <c r="K113" t="s">
        <v>218</v>
      </c>
      <c r="L113" t="s">
        <v>185</v>
      </c>
      <c r="M113" t="s">
        <v>252</v>
      </c>
      <c r="N113" t="s">
        <v>252</v>
      </c>
      <c r="O113">
        <v>4470190</v>
      </c>
    </row>
    <row r="114" spans="1:15" x14ac:dyDescent="0.2">
      <c r="A114" t="s">
        <v>253</v>
      </c>
      <c r="B114" t="s">
        <v>185</v>
      </c>
      <c r="C114" t="s">
        <v>185</v>
      </c>
      <c r="D114" t="s">
        <v>232</v>
      </c>
      <c r="E114" t="s">
        <v>127</v>
      </c>
      <c r="F114" t="s">
        <v>251</v>
      </c>
      <c r="G114" t="s">
        <v>104</v>
      </c>
      <c r="H114" t="s">
        <v>251</v>
      </c>
      <c r="I114" t="s">
        <v>20</v>
      </c>
      <c r="J114" t="s">
        <v>125</v>
      </c>
      <c r="K114" t="s">
        <v>218</v>
      </c>
      <c r="L114" t="s">
        <v>185</v>
      </c>
      <c r="M114" t="s">
        <v>253</v>
      </c>
      <c r="N114" t="s">
        <v>253</v>
      </c>
      <c r="O114">
        <v>1113858</v>
      </c>
    </row>
    <row r="115" spans="1:15" x14ac:dyDescent="0.2">
      <c r="A115" t="s">
        <v>254</v>
      </c>
      <c r="B115" t="s">
        <v>185</v>
      </c>
      <c r="C115" t="s">
        <v>185</v>
      </c>
      <c r="D115" t="s">
        <v>232</v>
      </c>
      <c r="E115" t="s">
        <v>127</v>
      </c>
      <c r="F115" t="s">
        <v>251</v>
      </c>
      <c r="G115" t="s">
        <v>104</v>
      </c>
      <c r="H115" t="s">
        <v>251</v>
      </c>
      <c r="I115" t="s">
        <v>20</v>
      </c>
      <c r="J115" t="s">
        <v>125</v>
      </c>
      <c r="K115" t="s">
        <v>218</v>
      </c>
      <c r="L115" t="s">
        <v>185</v>
      </c>
      <c r="M115" t="s">
        <v>254</v>
      </c>
      <c r="N115" t="s">
        <v>254</v>
      </c>
      <c r="O115">
        <v>1751375</v>
      </c>
    </row>
    <row r="116" spans="1:15" x14ac:dyDescent="0.2">
      <c r="A116" t="s">
        <v>255</v>
      </c>
      <c r="B116" t="s">
        <v>185</v>
      </c>
      <c r="C116" t="s">
        <v>185</v>
      </c>
      <c r="D116" t="s">
        <v>232</v>
      </c>
      <c r="E116" t="s">
        <v>256</v>
      </c>
      <c r="F116" t="s">
        <v>257</v>
      </c>
      <c r="G116" t="s">
        <v>104</v>
      </c>
      <c r="H116" t="s">
        <v>257</v>
      </c>
      <c r="I116" t="s">
        <v>20</v>
      </c>
      <c r="J116" t="s">
        <v>258</v>
      </c>
      <c r="K116" t="s">
        <v>218</v>
      </c>
      <c r="L116" t="s">
        <v>185</v>
      </c>
      <c r="M116" t="s">
        <v>255</v>
      </c>
      <c r="N116" t="s">
        <v>255</v>
      </c>
      <c r="O116">
        <v>2379644</v>
      </c>
    </row>
    <row r="117" spans="1:15" x14ac:dyDescent="0.2">
      <c r="A117" t="s">
        <v>259</v>
      </c>
      <c r="B117" t="s">
        <v>185</v>
      </c>
      <c r="C117" t="s">
        <v>185</v>
      </c>
      <c r="D117" t="s">
        <v>232</v>
      </c>
      <c r="E117" t="s">
        <v>210</v>
      </c>
      <c r="F117" t="s">
        <v>260</v>
      </c>
      <c r="G117" t="s">
        <v>104</v>
      </c>
      <c r="H117" t="s">
        <v>260</v>
      </c>
      <c r="I117" t="s">
        <v>20</v>
      </c>
      <c r="J117" t="s">
        <v>215</v>
      </c>
      <c r="K117" t="s">
        <v>218</v>
      </c>
      <c r="L117" t="s">
        <v>185</v>
      </c>
      <c r="M117" t="s">
        <v>259</v>
      </c>
      <c r="N117" t="s">
        <v>259</v>
      </c>
      <c r="O117">
        <v>1087399</v>
      </c>
    </row>
    <row r="118" spans="1:15" x14ac:dyDescent="0.2">
      <c r="A118" t="s">
        <v>261</v>
      </c>
      <c r="B118" t="s">
        <v>185</v>
      </c>
      <c r="C118" t="s">
        <v>185</v>
      </c>
      <c r="D118" t="s">
        <v>232</v>
      </c>
      <c r="E118" t="s">
        <v>210</v>
      </c>
      <c r="F118" t="s">
        <v>260</v>
      </c>
      <c r="G118" t="s">
        <v>104</v>
      </c>
      <c r="H118" t="s">
        <v>260</v>
      </c>
      <c r="I118" t="s">
        <v>20</v>
      </c>
      <c r="J118" t="s">
        <v>215</v>
      </c>
      <c r="K118" t="s">
        <v>218</v>
      </c>
      <c r="L118" t="s">
        <v>185</v>
      </c>
      <c r="M118" t="s">
        <v>261</v>
      </c>
      <c r="N118" t="s">
        <v>261</v>
      </c>
      <c r="O118">
        <v>682580</v>
      </c>
    </row>
    <row r="119" spans="1:15" x14ac:dyDescent="0.2">
      <c r="A119" t="s">
        <v>262</v>
      </c>
      <c r="B119" t="s">
        <v>185</v>
      </c>
      <c r="C119" t="s">
        <v>185</v>
      </c>
      <c r="D119" t="s">
        <v>232</v>
      </c>
      <c r="E119" t="s">
        <v>210</v>
      </c>
      <c r="F119" t="s">
        <v>233</v>
      </c>
      <c r="G119" t="s">
        <v>104</v>
      </c>
      <c r="H119" t="s">
        <v>233</v>
      </c>
      <c r="I119" t="s">
        <v>20</v>
      </c>
      <c r="J119" t="s">
        <v>215</v>
      </c>
      <c r="K119" t="s">
        <v>218</v>
      </c>
      <c r="L119" t="s">
        <v>185</v>
      </c>
      <c r="M119" t="s">
        <v>262</v>
      </c>
      <c r="N119" t="s">
        <v>262</v>
      </c>
      <c r="O119">
        <v>1150256</v>
      </c>
    </row>
    <row r="120" spans="1:15" x14ac:dyDescent="0.2">
      <c r="A120" t="s">
        <v>263</v>
      </c>
      <c r="B120" t="s">
        <v>185</v>
      </c>
      <c r="C120" t="s">
        <v>185</v>
      </c>
      <c r="D120" t="s">
        <v>232</v>
      </c>
      <c r="E120" t="s">
        <v>256</v>
      </c>
      <c r="F120" t="s">
        <v>257</v>
      </c>
      <c r="G120" t="s">
        <v>104</v>
      </c>
      <c r="H120" t="s">
        <v>257</v>
      </c>
      <c r="I120" t="s">
        <v>20</v>
      </c>
      <c r="J120" t="s">
        <v>258</v>
      </c>
      <c r="K120" t="s">
        <v>218</v>
      </c>
      <c r="L120" t="s">
        <v>185</v>
      </c>
      <c r="M120" t="s">
        <v>264</v>
      </c>
      <c r="N120" t="s">
        <v>263</v>
      </c>
      <c r="O120">
        <v>248135</v>
      </c>
    </row>
    <row r="121" spans="1:15" x14ac:dyDescent="0.2">
      <c r="A121" t="s">
        <v>265</v>
      </c>
      <c r="B121" t="s">
        <v>185</v>
      </c>
      <c r="C121" t="s">
        <v>185</v>
      </c>
      <c r="D121" t="s">
        <v>232</v>
      </c>
      <c r="E121" t="s">
        <v>256</v>
      </c>
      <c r="F121" t="s">
        <v>257</v>
      </c>
      <c r="G121" t="s">
        <v>104</v>
      </c>
      <c r="H121" t="s">
        <v>257</v>
      </c>
      <c r="I121" t="s">
        <v>20</v>
      </c>
      <c r="J121" t="s">
        <v>258</v>
      </c>
      <c r="K121" t="s">
        <v>218</v>
      </c>
      <c r="L121" t="s">
        <v>185</v>
      </c>
      <c r="M121" t="s">
        <v>265</v>
      </c>
      <c r="N121" t="s">
        <v>265</v>
      </c>
      <c r="O121">
        <v>173737</v>
      </c>
    </row>
    <row r="122" spans="1:15" x14ac:dyDescent="0.2">
      <c r="A122" t="s">
        <v>266</v>
      </c>
      <c r="B122" t="s">
        <v>185</v>
      </c>
      <c r="C122" t="s">
        <v>185</v>
      </c>
      <c r="D122" t="s">
        <v>232</v>
      </c>
      <c r="E122" t="s">
        <v>210</v>
      </c>
      <c r="F122" t="s">
        <v>267</v>
      </c>
      <c r="G122" t="s">
        <v>104</v>
      </c>
      <c r="H122" t="s">
        <v>267</v>
      </c>
      <c r="I122" t="s">
        <v>20</v>
      </c>
      <c r="J122" t="s">
        <v>258</v>
      </c>
      <c r="K122" t="s">
        <v>218</v>
      </c>
      <c r="L122" t="s">
        <v>185</v>
      </c>
      <c r="M122" t="s">
        <v>266</v>
      </c>
      <c r="N122" t="s">
        <v>266</v>
      </c>
      <c r="O122">
        <v>552035</v>
      </c>
    </row>
    <row r="123" spans="1:15" x14ac:dyDescent="0.2">
      <c r="A123" t="s">
        <v>268</v>
      </c>
      <c r="B123" t="s">
        <v>185</v>
      </c>
      <c r="C123" t="s">
        <v>185</v>
      </c>
      <c r="D123" t="s">
        <v>232</v>
      </c>
      <c r="E123" t="s">
        <v>256</v>
      </c>
      <c r="F123" t="s">
        <v>257</v>
      </c>
      <c r="G123" t="s">
        <v>104</v>
      </c>
      <c r="H123" t="s">
        <v>257</v>
      </c>
      <c r="I123" t="s">
        <v>20</v>
      </c>
      <c r="J123" t="s">
        <v>258</v>
      </c>
      <c r="K123" t="s">
        <v>218</v>
      </c>
      <c r="L123" t="s">
        <v>185</v>
      </c>
      <c r="M123" t="s">
        <v>264</v>
      </c>
      <c r="N123" t="s">
        <v>268</v>
      </c>
      <c r="O123">
        <v>10277235</v>
      </c>
    </row>
    <row r="124" spans="1:15" x14ac:dyDescent="0.2">
      <c r="A124" t="s">
        <v>269</v>
      </c>
      <c r="B124" t="s">
        <v>185</v>
      </c>
      <c r="C124" t="s">
        <v>185</v>
      </c>
      <c r="D124" t="s">
        <v>232</v>
      </c>
      <c r="E124" t="s">
        <v>210</v>
      </c>
      <c r="F124" t="s">
        <v>267</v>
      </c>
      <c r="G124" t="s">
        <v>104</v>
      </c>
      <c r="H124" t="s">
        <v>267</v>
      </c>
      <c r="I124" t="s">
        <v>20</v>
      </c>
      <c r="J124" t="s">
        <v>258</v>
      </c>
      <c r="K124" t="s">
        <v>218</v>
      </c>
      <c r="L124" t="s">
        <v>185</v>
      </c>
      <c r="M124" t="s">
        <v>269</v>
      </c>
      <c r="N124" t="s">
        <v>269</v>
      </c>
      <c r="O124">
        <v>6413435</v>
      </c>
    </row>
    <row r="125" spans="1:15" x14ac:dyDescent="0.2">
      <c r="A125" t="s">
        <v>270</v>
      </c>
      <c r="B125" t="s">
        <v>185</v>
      </c>
      <c r="C125" t="s">
        <v>185</v>
      </c>
      <c r="D125" t="s">
        <v>232</v>
      </c>
      <c r="E125" t="s">
        <v>210</v>
      </c>
      <c r="F125" t="s">
        <v>233</v>
      </c>
      <c r="G125" t="s">
        <v>104</v>
      </c>
      <c r="H125" t="s">
        <v>233</v>
      </c>
      <c r="I125" t="s">
        <v>20</v>
      </c>
      <c r="J125" t="s">
        <v>215</v>
      </c>
      <c r="K125" t="s">
        <v>218</v>
      </c>
      <c r="L125" t="s">
        <v>185</v>
      </c>
      <c r="M125" t="s">
        <v>270</v>
      </c>
      <c r="N125" t="s">
        <v>270</v>
      </c>
      <c r="O125">
        <v>45415</v>
      </c>
    </row>
    <row r="126" spans="1:15" x14ac:dyDescent="0.2">
      <c r="A126" t="s">
        <v>271</v>
      </c>
      <c r="B126" t="s">
        <v>185</v>
      </c>
      <c r="C126" t="s">
        <v>185</v>
      </c>
      <c r="D126" t="s">
        <v>232</v>
      </c>
      <c r="E126" t="s">
        <v>210</v>
      </c>
      <c r="F126" t="s">
        <v>272</v>
      </c>
      <c r="G126" t="s">
        <v>104</v>
      </c>
      <c r="H126" t="s">
        <v>272</v>
      </c>
      <c r="I126" t="s">
        <v>20</v>
      </c>
      <c r="J126" t="s">
        <v>258</v>
      </c>
      <c r="K126" t="s">
        <v>218</v>
      </c>
      <c r="L126" t="s">
        <v>185</v>
      </c>
      <c r="M126" t="s">
        <v>271</v>
      </c>
      <c r="N126" t="s">
        <v>271</v>
      </c>
      <c r="O126">
        <v>1051917</v>
      </c>
    </row>
    <row r="127" spans="1:15" x14ac:dyDescent="0.2">
      <c r="A127" t="s">
        <v>273</v>
      </c>
      <c r="B127" t="s">
        <v>185</v>
      </c>
      <c r="C127" t="s">
        <v>185</v>
      </c>
      <c r="D127" t="s">
        <v>232</v>
      </c>
      <c r="E127" t="s">
        <v>256</v>
      </c>
      <c r="F127" t="s">
        <v>274</v>
      </c>
      <c r="G127" t="s">
        <v>104</v>
      </c>
      <c r="H127" t="s">
        <v>274</v>
      </c>
      <c r="I127" t="s">
        <v>20</v>
      </c>
      <c r="J127" t="s">
        <v>258</v>
      </c>
      <c r="K127" t="s">
        <v>218</v>
      </c>
      <c r="L127" t="s">
        <v>185</v>
      </c>
      <c r="M127" t="s">
        <v>273</v>
      </c>
      <c r="N127" t="s">
        <v>273</v>
      </c>
      <c r="O127">
        <v>9500851</v>
      </c>
    </row>
    <row r="128" spans="1:15" x14ac:dyDescent="0.2">
      <c r="A128" t="s">
        <v>275</v>
      </c>
      <c r="B128" t="s">
        <v>276</v>
      </c>
      <c r="C128" t="s">
        <v>277</v>
      </c>
      <c r="D128" t="s">
        <v>277</v>
      </c>
      <c r="E128" t="s">
        <v>256</v>
      </c>
      <c r="F128" t="s">
        <v>278</v>
      </c>
      <c r="G128" t="s">
        <v>104</v>
      </c>
      <c r="H128" t="s">
        <v>278</v>
      </c>
      <c r="I128" t="s">
        <v>20</v>
      </c>
      <c r="J128" t="s">
        <v>258</v>
      </c>
      <c r="K128" t="s">
        <v>279</v>
      </c>
      <c r="L128" t="s">
        <v>277</v>
      </c>
      <c r="M128" t="s">
        <v>275</v>
      </c>
      <c r="N128" t="s">
        <v>275</v>
      </c>
      <c r="O128">
        <v>16938901</v>
      </c>
    </row>
    <row r="129" spans="1:15" x14ac:dyDescent="0.2">
      <c r="A129" t="s">
        <v>280</v>
      </c>
      <c r="B129" t="s">
        <v>276</v>
      </c>
      <c r="C129" t="s">
        <v>277</v>
      </c>
      <c r="D129" t="s">
        <v>277</v>
      </c>
      <c r="E129" t="s">
        <v>256</v>
      </c>
      <c r="F129" t="s">
        <v>278</v>
      </c>
      <c r="G129" t="s">
        <v>104</v>
      </c>
      <c r="H129" t="s">
        <v>278</v>
      </c>
      <c r="I129" t="s">
        <v>20</v>
      </c>
      <c r="J129" t="s">
        <v>258</v>
      </c>
      <c r="K129" t="s">
        <v>279</v>
      </c>
      <c r="L129" t="s">
        <v>277</v>
      </c>
      <c r="M129" t="s">
        <v>280</v>
      </c>
      <c r="N129" t="s">
        <v>280</v>
      </c>
      <c r="O129">
        <v>2928347</v>
      </c>
    </row>
    <row r="130" spans="1:15" x14ac:dyDescent="0.2">
      <c r="A130" t="s">
        <v>281</v>
      </c>
      <c r="B130" t="s">
        <v>282</v>
      </c>
      <c r="C130" t="s">
        <v>283</v>
      </c>
      <c r="D130" t="s">
        <v>283</v>
      </c>
      <c r="E130" t="s">
        <v>284</v>
      </c>
      <c r="F130" t="s">
        <v>285</v>
      </c>
      <c r="G130" t="s">
        <v>104</v>
      </c>
      <c r="H130" t="s">
        <v>285</v>
      </c>
      <c r="I130" t="s">
        <v>20</v>
      </c>
      <c r="J130" t="s">
        <v>258</v>
      </c>
      <c r="K130" t="s">
        <v>286</v>
      </c>
      <c r="L130" t="s">
        <v>283</v>
      </c>
      <c r="M130" t="s">
        <v>281</v>
      </c>
      <c r="N130" t="s">
        <v>281</v>
      </c>
      <c r="O130">
        <v>648493</v>
      </c>
    </row>
    <row r="131" spans="1:15" x14ac:dyDescent="0.2">
      <c r="A131" t="s">
        <v>287</v>
      </c>
      <c r="B131" t="s">
        <v>282</v>
      </c>
      <c r="C131" t="s">
        <v>283</v>
      </c>
      <c r="D131" t="s">
        <v>283</v>
      </c>
      <c r="E131" t="s">
        <v>284</v>
      </c>
      <c r="F131" t="s">
        <v>288</v>
      </c>
      <c r="G131" t="s">
        <v>104</v>
      </c>
      <c r="H131" t="s">
        <v>288</v>
      </c>
      <c r="I131" t="s">
        <v>20</v>
      </c>
      <c r="J131" t="s">
        <v>258</v>
      </c>
      <c r="K131" t="s">
        <v>286</v>
      </c>
      <c r="L131" t="s">
        <v>283</v>
      </c>
      <c r="M131" t="s">
        <v>287</v>
      </c>
      <c r="N131" t="s">
        <v>287</v>
      </c>
      <c r="O131">
        <v>1409032</v>
      </c>
    </row>
    <row r="132" spans="1:15" x14ac:dyDescent="0.2">
      <c r="A132" t="s">
        <v>289</v>
      </c>
      <c r="B132" t="s">
        <v>282</v>
      </c>
      <c r="C132" t="s">
        <v>283</v>
      </c>
      <c r="D132" t="s">
        <v>283</v>
      </c>
      <c r="E132" t="s">
        <v>284</v>
      </c>
      <c r="F132" t="s">
        <v>290</v>
      </c>
      <c r="G132" t="s">
        <v>104</v>
      </c>
      <c r="H132" t="s">
        <v>290</v>
      </c>
      <c r="I132" t="s">
        <v>20</v>
      </c>
      <c r="J132" t="s">
        <v>258</v>
      </c>
      <c r="K132" t="s">
        <v>286</v>
      </c>
      <c r="L132" t="s">
        <v>283</v>
      </c>
      <c r="M132" t="s">
        <v>289</v>
      </c>
      <c r="N132" t="s">
        <v>289</v>
      </c>
      <c r="O132">
        <v>7136171</v>
      </c>
    </row>
    <row r="133" spans="1:15" x14ac:dyDescent="0.2">
      <c r="A133" t="s">
        <v>291</v>
      </c>
      <c r="B133" t="s">
        <v>282</v>
      </c>
      <c r="C133" t="s">
        <v>283</v>
      </c>
      <c r="D133" t="s">
        <v>283</v>
      </c>
      <c r="E133" t="s">
        <v>284</v>
      </c>
      <c r="F133" t="s">
        <v>292</v>
      </c>
      <c r="G133" t="s">
        <v>104</v>
      </c>
      <c r="H133" t="s">
        <v>292</v>
      </c>
      <c r="I133" t="s">
        <v>20</v>
      </c>
      <c r="J133" t="s">
        <v>258</v>
      </c>
      <c r="K133" t="s">
        <v>286</v>
      </c>
      <c r="L133" t="s">
        <v>283</v>
      </c>
      <c r="M133" t="s">
        <v>291</v>
      </c>
      <c r="N133" t="s">
        <v>291</v>
      </c>
      <c r="O133">
        <v>3675069</v>
      </c>
    </row>
    <row r="134" spans="1:15" x14ac:dyDescent="0.2">
      <c r="A134" t="s">
        <v>293</v>
      </c>
      <c r="B134" t="s">
        <v>282</v>
      </c>
      <c r="C134" t="s">
        <v>283</v>
      </c>
      <c r="D134" t="s">
        <v>283</v>
      </c>
      <c r="E134" t="s">
        <v>284</v>
      </c>
      <c r="F134" t="s">
        <v>294</v>
      </c>
      <c r="G134" t="s">
        <v>104</v>
      </c>
      <c r="H134" t="s">
        <v>294</v>
      </c>
      <c r="I134" t="s">
        <v>20</v>
      </c>
      <c r="J134" t="s">
        <v>258</v>
      </c>
      <c r="K134" t="s">
        <v>286</v>
      </c>
      <c r="L134" t="s">
        <v>283</v>
      </c>
      <c r="M134" t="s">
        <v>293</v>
      </c>
      <c r="N134" t="s">
        <v>293</v>
      </c>
      <c r="O134">
        <v>1112308</v>
      </c>
    </row>
    <row r="135" spans="1:15" x14ac:dyDescent="0.2">
      <c r="A135" t="s">
        <v>295</v>
      </c>
      <c r="B135" t="s">
        <v>282</v>
      </c>
      <c r="C135" t="s">
        <v>283</v>
      </c>
      <c r="D135" t="s">
        <v>283</v>
      </c>
      <c r="E135" t="s">
        <v>284</v>
      </c>
      <c r="F135" t="s">
        <v>296</v>
      </c>
      <c r="G135" t="s">
        <v>104</v>
      </c>
      <c r="H135" t="s">
        <v>296</v>
      </c>
      <c r="I135" t="s">
        <v>20</v>
      </c>
      <c r="J135" t="s">
        <v>258</v>
      </c>
      <c r="K135" t="s">
        <v>286</v>
      </c>
      <c r="L135" t="s">
        <v>283</v>
      </c>
      <c r="M135" t="s">
        <v>295</v>
      </c>
      <c r="N135" t="s">
        <v>295</v>
      </c>
      <c r="O135">
        <v>1405012</v>
      </c>
    </row>
  </sheetData>
  <autoFilter ref="A1:O135" xr:uid="{976FC11E-5E3D-FB44-A267-86203009BA4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705F-0649-0746-87F5-4B967309B5E1}">
  <dimension ref="A1:T47"/>
  <sheetViews>
    <sheetView tabSelected="1" workbookViewId="0">
      <selection activeCell="C32" sqref="C32"/>
    </sheetView>
  </sheetViews>
  <sheetFormatPr baseColWidth="10" defaultRowHeight="16" x14ac:dyDescent="0.2"/>
  <cols>
    <col min="1" max="1" width="54.33203125" bestFit="1" customWidth="1"/>
    <col min="2" max="2" width="20.6640625" bestFit="1" customWidth="1"/>
    <col min="3" max="3" width="35.83203125" bestFit="1" customWidth="1"/>
    <col min="4" max="4" width="7.6640625" bestFit="1" customWidth="1"/>
    <col min="5" max="5" width="9.5" bestFit="1" customWidth="1"/>
    <col min="6" max="6" width="28.33203125" customWidth="1"/>
    <col min="7" max="7" width="23.83203125" customWidth="1"/>
    <col min="8" max="8" width="23.83203125" style="1" customWidth="1"/>
    <col min="15" max="15" width="14.1640625" bestFit="1" customWidth="1"/>
    <col min="20" max="20" width="14" style="1" bestFit="1" customWidth="1"/>
  </cols>
  <sheetData>
    <row r="1" spans="1:20" s="2" customFormat="1" x14ac:dyDescent="0.2">
      <c r="A1" s="2" t="s">
        <v>375</v>
      </c>
      <c r="B1" s="2" t="s">
        <v>300</v>
      </c>
      <c r="C1" s="2" t="s">
        <v>303</v>
      </c>
      <c r="D1" s="2" t="s">
        <v>311</v>
      </c>
      <c r="E1" s="4" t="s">
        <v>305</v>
      </c>
      <c r="F1" s="2" t="s">
        <v>307</v>
      </c>
      <c r="G1" s="2" t="s">
        <v>306</v>
      </c>
      <c r="H1" s="3" t="s">
        <v>308</v>
      </c>
      <c r="I1" s="2" t="str">
        <f>Hierarchy!B1</f>
        <v>nercr</v>
      </c>
      <c r="J1" s="2" t="str">
        <f>Hierarchy!C1</f>
        <v>transreg</v>
      </c>
      <c r="K1" s="2" t="str">
        <f>Hierarchy!D1</f>
        <v>transgrp</v>
      </c>
      <c r="L1" s="2" t="str">
        <f>Hierarchy!E1</f>
        <v>cendiv</v>
      </c>
      <c r="M1" s="2" t="str">
        <f>Hierarchy!F1</f>
        <v>st</v>
      </c>
      <c r="N1" s="2" t="str">
        <f>Hierarchy!G1</f>
        <v>interconnect</v>
      </c>
      <c r="O1" s="2" t="str">
        <f>Hierarchy!H1</f>
        <v>st_interconnect</v>
      </c>
      <c r="P1" s="2" t="str">
        <f>Hierarchy!I1</f>
        <v>country</v>
      </c>
      <c r="Q1" s="2" t="str">
        <f>Hierarchy!J1</f>
        <v>usda_region</v>
      </c>
      <c r="R1" s="2" t="str">
        <f>Hierarchy!K1</f>
        <v>h2ptcreg</v>
      </c>
      <c r="S1" s="2" t="str">
        <f>Hierarchy!L1</f>
        <v>hurdlereg</v>
      </c>
      <c r="T1" s="3"/>
    </row>
    <row r="2" spans="1:20" x14ac:dyDescent="0.2">
      <c r="A2" t="str">
        <f>(_xlfn.REGEXREPLACE(_xlfn.REGEXREPLACE(SUBSTITUTE(TRIM(B2), "+", " and "), "[^A-Za-z0-9]+", "_"), "^_+|_+$", ""))</f>
        <v>LAX</v>
      </c>
      <c r="B2" t="s">
        <v>345</v>
      </c>
      <c r="C2" t="s">
        <v>42</v>
      </c>
      <c r="D2" cm="1">
        <f t="array" ref="D2">SUMPRODUCT(--(TRIM(IFERROR(_xlfn.TEXTSPLIT(_xlfn.TEXTJOIN(",",TRUE,C2),","),""))&lt;&gt;""))</f>
        <v>1</v>
      </c>
      <c r="E2" s="5" t="str" cm="1">
        <f t="array" ref="E2">_xlfn.TEXTJOIN(", ", TRUE, _xlfn.UNIQUE(_xlfn._xlws.FILTER(Hierarchy!F$2:F$1000, ISNUMBER(MATCH(Hierarchy!$A$2:$A$1000, _xlfn.TEXTSPLIT($C2,", "),0)), "")))</f>
        <v>CA</v>
      </c>
      <c r="F2" t="str" cm="1">
        <f t="array" ref="F2">_xlfn.TEXTJOIN(", ", TRUE, _xlfn.UNIQUE(_xlfn._xlws.FILTER(Hierarchy!H$2:H$1000, ISNUMBER(MATCH(Hierarchy!$A$2:$A$1000, _xlfn.TEXTSPLIT($C2,", "),0)), "")))</f>
        <v>CA</v>
      </c>
      <c r="G2" t="str" cm="1">
        <f t="array" ref="G2">_xlfn.TEXTJOIN(", ", TRUE, _xlfn.UNIQUE(_xlfn._xlws.FILTER(Hierarchy!C$2:C$1000, ISNUMBER(MATCH(Hierarchy!$A$2:$A$1000, _xlfn.TEXTSPLIT($C2,", "),0)), "")))</f>
        <v>CAISO</v>
      </c>
      <c r="H2" s="1" cm="1">
        <f t="array" ref="H2">SUMPRODUCT((ISNUMBER(MATCH(Hierarchy!A$2:A$1000, _xlfn.TEXTSPLIT(C2,", "),0)))*Hierarchy!O$2:O$1000)</f>
        <v>20126530</v>
      </c>
      <c r="I2" cm="1">
        <f t="array" ref="I2">COUNTA(_xlfn.UNIQUE(_xlfn._xlws.FILTER(Hierarchy!B$2:B$1000, ISNUMBER(MATCH(Hierarchy!$A$2:$A$1000, _xlfn.TEXTSPLIT($C2,", "),0)), "")))</f>
        <v>1</v>
      </c>
      <c r="J2" cm="1">
        <f t="array" ref="J2">COUNTA(_xlfn.UNIQUE(_xlfn._xlws.FILTER(Hierarchy!C$2:C$1000, ISNUMBER(MATCH(Hierarchy!$A$2:$A$1000, _xlfn.TEXTSPLIT($C2,", "),0)), "")))</f>
        <v>1</v>
      </c>
      <c r="K2" cm="1">
        <f t="array" ref="K2">COUNTA(_xlfn.UNIQUE(_xlfn._xlws.FILTER(Hierarchy!D$2:D$1000, ISNUMBER(MATCH(Hierarchy!$A$2:$A$1000, _xlfn.TEXTSPLIT($C2,", "),0)), "")))</f>
        <v>1</v>
      </c>
      <c r="L2" cm="1">
        <f t="array" ref="L2">COUNTA(_xlfn.UNIQUE(_xlfn._xlws.FILTER(Hierarchy!E$2:E$1000, ISNUMBER(MATCH(Hierarchy!$A$2:$A$1000, _xlfn.TEXTSPLIT($C2,", "),0)), "")))</f>
        <v>1</v>
      </c>
      <c r="M2" cm="1">
        <f t="array" ref="M2">COUNTA(_xlfn.UNIQUE(_xlfn._xlws.FILTER(Hierarchy!F$2:F$1000, ISNUMBER(MATCH(Hierarchy!$A$2:$A$1000, _xlfn.TEXTSPLIT($C2,", "),0)), "")))</f>
        <v>1</v>
      </c>
      <c r="N2" cm="1">
        <f t="array" ref="N2">COUNTA(_xlfn.UNIQUE(_xlfn._xlws.FILTER(Hierarchy!G$2:G$1000, ISNUMBER(MATCH(Hierarchy!$A$2:$A$1000, _xlfn.TEXTSPLIT($C2,", "),0)), "")))</f>
        <v>1</v>
      </c>
      <c r="O2" cm="1">
        <f t="array" ref="O2">COUNTA(_xlfn.UNIQUE(_xlfn._xlws.FILTER(Hierarchy!H$2:H$1000, ISNUMBER(MATCH(Hierarchy!$A$2:$A$1000, _xlfn.TEXTSPLIT($C2,", "),0)), "")))</f>
        <v>1</v>
      </c>
      <c r="P2" cm="1">
        <f t="array" ref="P2">COUNTA(_xlfn.UNIQUE(_xlfn._xlws.FILTER(Hierarchy!I$2:I$1000, ISNUMBER(MATCH(Hierarchy!$A$2:$A$1000, _xlfn.TEXTSPLIT($C2,", "),0)), "")))</f>
        <v>1</v>
      </c>
      <c r="Q2" cm="1">
        <f t="array" ref="Q2">COUNTA(_xlfn.UNIQUE(_xlfn._xlws.FILTER(Hierarchy!J$2:J$1000, ISNUMBER(MATCH(Hierarchy!$A$2:$A$1000, _xlfn.TEXTSPLIT($C2,", "),0)), "")))</f>
        <v>1</v>
      </c>
      <c r="R2" cm="1">
        <f t="array" ref="R2">COUNTA(_xlfn.UNIQUE(_xlfn._xlws.FILTER(Hierarchy!K$2:K$1000, ISNUMBER(MATCH(Hierarchy!$A$2:$A$1000, _xlfn.TEXTSPLIT($C2,", "),0)), "")))</f>
        <v>1</v>
      </c>
      <c r="S2" cm="1">
        <f t="array" ref="S2">COUNTA(_xlfn.UNIQUE(_xlfn._xlws.FILTER(Hierarchy!L$2:L$1000, ISNUMBER(MATCH(Hierarchy!$A$2:$A$1000, _xlfn.TEXTSPLIT($C2,", "),0)), "")))</f>
        <v>1</v>
      </c>
    </row>
    <row r="3" spans="1:20" x14ac:dyDescent="0.2">
      <c r="A3" t="str">
        <f t="shared" ref="A3:A47" si="0">(_xlfn.REGEXREPLACE(_xlfn.REGEXREPLACE(SUBSTITUTE(TRIM(B3), "+", " and "), "[^A-Za-z0-9]+", "_"), "^_+|_+$", ""))</f>
        <v>NY</v>
      </c>
      <c r="B3" t="s">
        <v>278</v>
      </c>
      <c r="C3" t="s">
        <v>275</v>
      </c>
      <c r="D3" cm="1">
        <f t="array" ref="D3">SUMPRODUCT(--(TRIM(IFERROR(_xlfn.TEXTSPLIT(_xlfn.TEXTJOIN(",",TRUE,C3),","),""))&lt;&gt;""))</f>
        <v>1</v>
      </c>
      <c r="E3" s="5" t="str" cm="1">
        <f t="array" ref="E3">_xlfn.TEXTJOIN(", ", TRUE, _xlfn.UNIQUE(_xlfn._xlws.FILTER(Hierarchy!F$2:F$1000, ISNUMBER(MATCH(Hierarchy!$A$2:$A$1000, _xlfn.TEXTSPLIT($C3,", "),0)), "")))</f>
        <v>NY</v>
      </c>
      <c r="F3" t="str" cm="1">
        <f t="array" ref="F3">_xlfn.TEXTJOIN(", ", TRUE, _xlfn.UNIQUE(_xlfn._xlws.FILTER(Hierarchy!H$2:H$1000, ISNUMBER(MATCH(Hierarchy!$A$2:$A$1000, _xlfn.TEXTSPLIT($C3,", "),0)), "")))</f>
        <v>NY</v>
      </c>
      <c r="G3" t="str" cm="1">
        <f t="array" ref="G3">_xlfn.TEXTJOIN(", ", TRUE, _xlfn.UNIQUE(_xlfn._xlws.FILTER(Hierarchy!C$2:C$1000, ISNUMBER(MATCH(Hierarchy!$A$2:$A$1000, _xlfn.TEXTSPLIT($C3,", "),0)), "")))</f>
        <v>NYISO</v>
      </c>
      <c r="H3" s="1" cm="1">
        <f t="array" ref="H3">SUMPRODUCT((ISNUMBER(MATCH(Hierarchy!A$2:A$1000, _xlfn.TEXTSPLIT(C3,", "),0)))*Hierarchy!O$2:O$1000)</f>
        <v>16938901</v>
      </c>
      <c r="I3" cm="1">
        <f t="array" ref="I3">COUNTA(_xlfn.UNIQUE(_xlfn._xlws.FILTER(Hierarchy!B$2:B$1000, ISNUMBER(MATCH(Hierarchy!$A$2:$A$1000, _xlfn.TEXTSPLIT($C3,", "),0)), "")))</f>
        <v>1</v>
      </c>
      <c r="J3" cm="1">
        <f t="array" ref="J3">COUNTA(_xlfn.UNIQUE(_xlfn._xlws.FILTER(Hierarchy!C$2:C$1000, ISNUMBER(MATCH(Hierarchy!$A$2:$A$1000, _xlfn.TEXTSPLIT($C3,", "),0)), "")))</f>
        <v>1</v>
      </c>
      <c r="K3" cm="1">
        <f t="array" ref="K3">COUNTA(_xlfn.UNIQUE(_xlfn._xlws.FILTER(Hierarchy!D$2:D$1000, ISNUMBER(MATCH(Hierarchy!$A$2:$A$1000, _xlfn.TEXTSPLIT($C3,", "),0)), "")))</f>
        <v>1</v>
      </c>
      <c r="L3" cm="1">
        <f t="array" ref="L3">COUNTA(_xlfn.UNIQUE(_xlfn._xlws.FILTER(Hierarchy!E$2:E$1000, ISNUMBER(MATCH(Hierarchy!$A$2:$A$1000, _xlfn.TEXTSPLIT($C3,", "),0)), "")))</f>
        <v>1</v>
      </c>
      <c r="M3" cm="1">
        <f t="array" ref="M3">COUNTA(_xlfn.UNIQUE(_xlfn._xlws.FILTER(Hierarchy!F$2:F$1000, ISNUMBER(MATCH(Hierarchy!$A$2:$A$1000, _xlfn.TEXTSPLIT($C3,", "),0)), "")))</f>
        <v>1</v>
      </c>
      <c r="N3" cm="1">
        <f t="array" ref="N3">COUNTA(_xlfn.UNIQUE(_xlfn._xlws.FILTER(Hierarchy!G$2:G$1000, ISNUMBER(MATCH(Hierarchy!$A$2:$A$1000, _xlfn.TEXTSPLIT($C3,", "),0)), "")))</f>
        <v>1</v>
      </c>
      <c r="O3" cm="1">
        <f t="array" ref="O3">COUNTA(_xlfn.UNIQUE(_xlfn._xlws.FILTER(Hierarchy!H$2:H$1000, ISNUMBER(MATCH(Hierarchy!$A$2:$A$1000, _xlfn.TEXTSPLIT($C3,", "),0)), "")))</f>
        <v>1</v>
      </c>
      <c r="P3" cm="1">
        <f t="array" ref="P3">COUNTA(_xlfn.UNIQUE(_xlfn._xlws.FILTER(Hierarchy!I$2:I$1000, ISNUMBER(MATCH(Hierarchy!$A$2:$A$1000, _xlfn.TEXTSPLIT($C3,", "),0)), "")))</f>
        <v>1</v>
      </c>
      <c r="Q3" cm="1">
        <f t="array" ref="Q3">COUNTA(_xlfn.UNIQUE(_xlfn._xlws.FILTER(Hierarchy!J$2:J$1000, ISNUMBER(MATCH(Hierarchy!$A$2:$A$1000, _xlfn.TEXTSPLIT($C3,", "),0)), "")))</f>
        <v>1</v>
      </c>
      <c r="R3" cm="1">
        <f t="array" ref="R3">COUNTA(_xlfn.UNIQUE(_xlfn._xlws.FILTER(Hierarchy!K$2:K$1000, ISNUMBER(MATCH(Hierarchy!$A$2:$A$1000, _xlfn.TEXTSPLIT($C3,", "),0)), "")))</f>
        <v>1</v>
      </c>
      <c r="S3" cm="1">
        <f t="array" ref="S3">COUNTA(_xlfn.UNIQUE(_xlfn._xlws.FILTER(Hierarchy!L$2:L$1000, ISNUMBER(MATCH(Hierarchy!$A$2:$A$1000, _xlfn.TEXTSPLIT($C3,", "),0)), "")))</f>
        <v>1</v>
      </c>
    </row>
    <row r="4" spans="1:20" x14ac:dyDescent="0.2">
      <c r="A4" t="str">
        <f t="shared" si="0"/>
        <v>Bay_area</v>
      </c>
      <c r="B4" t="s">
        <v>301</v>
      </c>
      <c r="C4" t="s">
        <v>39</v>
      </c>
      <c r="D4" cm="1">
        <f t="array" ref="D4">SUMPRODUCT(--(TRIM(IFERROR(_xlfn.TEXTSPLIT(_xlfn.TEXTJOIN(",",TRUE,C4),","),""))&lt;&gt;""))</f>
        <v>1</v>
      </c>
      <c r="E4" s="5" t="str" cm="1">
        <f t="array" ref="E4">_xlfn.TEXTJOIN(", ", TRUE, _xlfn.UNIQUE(_xlfn._xlws.FILTER(Hierarchy!F$2:F$1000, ISNUMBER(MATCH(Hierarchy!$A$2:$A$1000, _xlfn.TEXTSPLIT($C4,", "),0)), "")))</f>
        <v>CA</v>
      </c>
      <c r="F4" t="str" cm="1">
        <f t="array" ref="F4">_xlfn.TEXTJOIN(", ", TRUE, _xlfn.UNIQUE(_xlfn._xlws.FILTER(Hierarchy!H$2:H$1000, ISNUMBER(MATCH(Hierarchy!$A$2:$A$1000, _xlfn.TEXTSPLIT($C4,", "),0)), "")))</f>
        <v>CA</v>
      </c>
      <c r="G4" t="str" cm="1">
        <f t="array" ref="G4">_xlfn.TEXTJOIN(", ", TRUE, _xlfn.UNIQUE(_xlfn._xlws.FILTER(Hierarchy!C$2:C$1000, ISNUMBER(MATCH(Hierarchy!$A$2:$A$1000, _xlfn.TEXTSPLIT($C4,", "),0)), "")))</f>
        <v>CAISO</v>
      </c>
      <c r="H4" s="1" cm="1">
        <f t="array" ref="H4">SUMPRODUCT((ISNUMBER(MATCH(Hierarchy!A$2:A$1000, _xlfn.TEXTSPLIT(C4,", "),0)))*Hierarchy!O$2:O$1000)</f>
        <v>15926605</v>
      </c>
      <c r="I4" cm="1">
        <f t="array" ref="I4">COUNTA(_xlfn.UNIQUE(_xlfn._xlws.FILTER(Hierarchy!B$2:B$1000, ISNUMBER(MATCH(Hierarchy!$A$2:$A$1000, _xlfn.TEXTSPLIT($C4,", "),0)), "")))</f>
        <v>1</v>
      </c>
      <c r="J4" cm="1">
        <f t="array" ref="J4">COUNTA(_xlfn.UNIQUE(_xlfn._xlws.FILTER(Hierarchy!C$2:C$1000, ISNUMBER(MATCH(Hierarchy!$A$2:$A$1000, _xlfn.TEXTSPLIT($C4,", "),0)), "")))</f>
        <v>1</v>
      </c>
      <c r="K4" cm="1">
        <f t="array" ref="K4">COUNTA(_xlfn.UNIQUE(_xlfn._xlws.FILTER(Hierarchy!D$2:D$1000, ISNUMBER(MATCH(Hierarchy!$A$2:$A$1000, _xlfn.TEXTSPLIT($C4,", "),0)), "")))</f>
        <v>1</v>
      </c>
      <c r="L4" cm="1">
        <f t="array" ref="L4">COUNTA(_xlfn.UNIQUE(_xlfn._xlws.FILTER(Hierarchy!E$2:E$1000, ISNUMBER(MATCH(Hierarchy!$A$2:$A$1000, _xlfn.TEXTSPLIT($C4,", "),0)), "")))</f>
        <v>1</v>
      </c>
      <c r="M4" cm="1">
        <f t="array" ref="M4">COUNTA(_xlfn.UNIQUE(_xlfn._xlws.FILTER(Hierarchy!F$2:F$1000, ISNUMBER(MATCH(Hierarchy!$A$2:$A$1000, _xlfn.TEXTSPLIT($C4,", "),0)), "")))</f>
        <v>1</v>
      </c>
      <c r="N4" cm="1">
        <f t="array" ref="N4">COUNTA(_xlfn.UNIQUE(_xlfn._xlws.FILTER(Hierarchy!G$2:G$1000, ISNUMBER(MATCH(Hierarchy!$A$2:$A$1000, _xlfn.TEXTSPLIT($C4,", "),0)), "")))</f>
        <v>1</v>
      </c>
      <c r="O4" cm="1">
        <f t="array" ref="O4">COUNTA(_xlfn.UNIQUE(_xlfn._xlws.FILTER(Hierarchy!H$2:H$1000, ISNUMBER(MATCH(Hierarchy!$A$2:$A$1000, _xlfn.TEXTSPLIT($C4,", "),0)), "")))</f>
        <v>1</v>
      </c>
      <c r="P4" cm="1">
        <f t="array" ref="P4">COUNTA(_xlfn.UNIQUE(_xlfn._xlws.FILTER(Hierarchy!I$2:I$1000, ISNUMBER(MATCH(Hierarchy!$A$2:$A$1000, _xlfn.TEXTSPLIT($C4,", "),0)), "")))</f>
        <v>1</v>
      </c>
      <c r="Q4" cm="1">
        <f t="array" ref="Q4">COUNTA(_xlfn.UNIQUE(_xlfn._xlws.FILTER(Hierarchy!J$2:J$1000, ISNUMBER(MATCH(Hierarchy!$A$2:$A$1000, _xlfn.TEXTSPLIT($C4,", "),0)), "")))</f>
        <v>1</v>
      </c>
      <c r="R4" cm="1">
        <f t="array" ref="R4">COUNTA(_xlfn.UNIQUE(_xlfn._xlws.FILTER(Hierarchy!K$2:K$1000, ISNUMBER(MATCH(Hierarchy!$A$2:$A$1000, _xlfn.TEXTSPLIT($C4,", "),0)), "")))</f>
        <v>1</v>
      </c>
      <c r="S4" cm="1">
        <f t="array" ref="S4">COUNTA(_xlfn.UNIQUE(_xlfn._xlws.FILTER(Hierarchy!L$2:L$1000, ISNUMBER(MATCH(Hierarchy!$A$2:$A$1000, _xlfn.TEXTSPLIT($C4,", "),0)), "")))</f>
        <v>1</v>
      </c>
    </row>
    <row r="5" spans="1:20" x14ac:dyDescent="0.2">
      <c r="A5" t="str">
        <f t="shared" si="0"/>
        <v>e_Texas_ERCOT</v>
      </c>
      <c r="B5" t="s">
        <v>357</v>
      </c>
      <c r="C5" s="8" t="s">
        <v>318</v>
      </c>
      <c r="D5" cm="1">
        <f t="array" ref="D5">SUMPRODUCT(--(TRIM(IFERROR(_xlfn.TEXTSPLIT(_xlfn.TEXTJOIN(",",TRUE,C5),","),""))&lt;&gt;""))</f>
        <v>2</v>
      </c>
      <c r="E5" s="5" t="str" cm="1">
        <f t="array" ref="E5">_xlfn.TEXTJOIN(", ", TRUE, _xlfn.UNIQUE(_xlfn._xlws.FILTER(Hierarchy!F$2:F$1000, ISNUMBER(MATCH(Hierarchy!$A$2:$A$1000, _xlfn.TEXTSPLIT($C5,", "),0)), "")))</f>
        <v>TX</v>
      </c>
      <c r="F5" t="str" cm="1">
        <f t="array" ref="F5">_xlfn.TEXTJOIN(", ", TRUE, _xlfn.UNIQUE(_xlfn._xlws.FILTER(Hierarchy!H$2:H$1000, ISNUMBER(MATCH(Hierarchy!$A$2:$A$1000, _xlfn.TEXTSPLIT($C5,", "),0)), "")))</f>
        <v>TX_ercot</v>
      </c>
      <c r="G5" t="str" cm="1">
        <f t="array" ref="G5">_xlfn.TEXTJOIN(", ", TRUE, _xlfn.UNIQUE(_xlfn._xlws.FILTER(Hierarchy!C$2:C$1000, ISNUMBER(MATCH(Hierarchy!$A$2:$A$1000, _xlfn.TEXTSPLIT($C5,", "),0)), "")))</f>
        <v>ERCOT</v>
      </c>
      <c r="H5" s="1" cm="1">
        <f t="array" ref="H5">SUMPRODUCT((ISNUMBER(MATCH(Hierarchy!A$2:A$1000, _xlfn.TEXTSPLIT(C5,", "),0)))*Hierarchy!O$2:O$1000)</f>
        <v>14790165</v>
      </c>
      <c r="I5" cm="1">
        <f t="array" ref="I5">COUNTA(_xlfn.UNIQUE(_xlfn._xlws.FILTER(Hierarchy!B$2:B$1000, ISNUMBER(MATCH(Hierarchy!$A$2:$A$1000, _xlfn.TEXTSPLIT($C5,", "),0)), "")))</f>
        <v>1</v>
      </c>
      <c r="J5" cm="1">
        <f t="array" ref="J5">COUNTA(_xlfn.UNIQUE(_xlfn._xlws.FILTER(Hierarchy!C$2:C$1000, ISNUMBER(MATCH(Hierarchy!$A$2:$A$1000, _xlfn.TEXTSPLIT($C5,", "),0)), "")))</f>
        <v>1</v>
      </c>
      <c r="K5" cm="1">
        <f t="array" ref="K5">COUNTA(_xlfn.UNIQUE(_xlfn._xlws.FILTER(Hierarchy!D$2:D$1000, ISNUMBER(MATCH(Hierarchy!$A$2:$A$1000, _xlfn.TEXTSPLIT($C5,", "),0)), "")))</f>
        <v>1</v>
      </c>
      <c r="L5" cm="1">
        <f t="array" ref="L5">COUNTA(_xlfn.UNIQUE(_xlfn._xlws.FILTER(Hierarchy!E$2:E$1000, ISNUMBER(MATCH(Hierarchy!$A$2:$A$1000, _xlfn.TEXTSPLIT($C5,", "),0)), "")))</f>
        <v>1</v>
      </c>
      <c r="M5" cm="1">
        <f t="array" ref="M5">COUNTA(_xlfn.UNIQUE(_xlfn._xlws.FILTER(Hierarchy!F$2:F$1000, ISNUMBER(MATCH(Hierarchy!$A$2:$A$1000, _xlfn.TEXTSPLIT($C5,", "),0)), "")))</f>
        <v>1</v>
      </c>
      <c r="N5" cm="1">
        <f t="array" ref="N5">COUNTA(_xlfn.UNIQUE(_xlfn._xlws.FILTER(Hierarchy!G$2:G$1000, ISNUMBER(MATCH(Hierarchy!$A$2:$A$1000, _xlfn.TEXTSPLIT($C5,", "),0)), "")))</f>
        <v>1</v>
      </c>
      <c r="O5" cm="1">
        <f t="array" ref="O5">COUNTA(_xlfn.UNIQUE(_xlfn._xlws.FILTER(Hierarchy!H$2:H$1000, ISNUMBER(MATCH(Hierarchy!$A$2:$A$1000, _xlfn.TEXTSPLIT($C5,", "),0)), "")))</f>
        <v>1</v>
      </c>
      <c r="P5" cm="1">
        <f t="array" ref="P5">COUNTA(_xlfn.UNIQUE(_xlfn._xlws.FILTER(Hierarchy!I$2:I$1000, ISNUMBER(MATCH(Hierarchy!$A$2:$A$1000, _xlfn.TEXTSPLIT($C5,", "),0)), "")))</f>
        <v>1</v>
      </c>
      <c r="Q5" cm="1">
        <f t="array" ref="Q5">COUNTA(_xlfn.UNIQUE(_xlfn._xlws.FILTER(Hierarchy!J$2:J$1000, ISNUMBER(MATCH(Hierarchy!$A$2:$A$1000, _xlfn.TEXTSPLIT($C5,", "),0)), "")))</f>
        <v>1</v>
      </c>
      <c r="R5" cm="1">
        <f t="array" ref="R5">COUNTA(_xlfn.UNIQUE(_xlfn._xlws.FILTER(Hierarchy!K$2:K$1000, ISNUMBER(MATCH(Hierarchy!$A$2:$A$1000, _xlfn.TEXTSPLIT($C5,", "),0)), "")))</f>
        <v>1</v>
      </c>
      <c r="S5" cm="1">
        <f t="array" ref="S5">COUNTA(_xlfn.UNIQUE(_xlfn._xlws.FILTER(Hierarchy!L$2:L$1000, ISNUMBER(MATCH(Hierarchy!$A$2:$A$1000, _xlfn.TEXTSPLIT($C5,", "),0)), "")))</f>
        <v>1</v>
      </c>
    </row>
    <row r="6" spans="1:20" x14ac:dyDescent="0.2">
      <c r="A6" t="str">
        <f t="shared" si="0"/>
        <v>Central_FL</v>
      </c>
      <c r="B6" t="s">
        <v>346</v>
      </c>
      <c r="C6" t="s">
        <v>235</v>
      </c>
      <c r="D6" cm="1">
        <f t="array" ref="D6">SUMPRODUCT(--(TRIM(IFERROR(_xlfn.TEXTSPLIT(_xlfn.TEXTJOIN(",",TRUE,C6),","),""))&lt;&gt;""))</f>
        <v>1</v>
      </c>
      <c r="E6" s="5" t="str" cm="1">
        <f t="array" ref="E6">_xlfn.TEXTJOIN(", ", TRUE, _xlfn.UNIQUE(_xlfn._xlws.FILTER(Hierarchy!F$2:F$1000, ISNUMBER(MATCH(Hierarchy!$A$2:$A$1000, _xlfn.TEXTSPLIT($C6,", "),0)), "")))</f>
        <v>FL</v>
      </c>
      <c r="F6" t="str" cm="1">
        <f t="array" ref="F6">_xlfn.TEXTJOIN(", ", TRUE, _xlfn.UNIQUE(_xlfn._xlws.FILTER(Hierarchy!H$2:H$1000, ISNUMBER(MATCH(Hierarchy!$A$2:$A$1000, _xlfn.TEXTSPLIT($C6,", "),0)), "")))</f>
        <v>FL</v>
      </c>
      <c r="G6" t="str" cm="1">
        <f t="array" ref="G6">_xlfn.TEXTJOIN(", ", TRUE, _xlfn.UNIQUE(_xlfn._xlws.FILTER(Hierarchy!C$2:C$1000, ISNUMBER(MATCH(Hierarchy!$A$2:$A$1000, _xlfn.TEXTSPLIT($C6,", "),0)), "")))</f>
        <v>FRCC</v>
      </c>
      <c r="H6" s="1" cm="1">
        <f t="array" ref="H6">SUMPRODUCT((ISNUMBER(MATCH(Hierarchy!A$2:A$1000, _xlfn.TEXTSPLIT(C6,", "),0)))*Hierarchy!O$2:O$1000)</f>
        <v>14352997</v>
      </c>
      <c r="I6" cm="1">
        <f t="array" ref="I6">COUNTA(_xlfn.UNIQUE(_xlfn._xlws.FILTER(Hierarchy!B$2:B$1000, ISNUMBER(MATCH(Hierarchy!$A$2:$A$1000, _xlfn.TEXTSPLIT($C6,", "),0)), "")))</f>
        <v>1</v>
      </c>
      <c r="J6" cm="1">
        <f t="array" ref="J6">COUNTA(_xlfn.UNIQUE(_xlfn._xlws.FILTER(Hierarchy!C$2:C$1000, ISNUMBER(MATCH(Hierarchy!$A$2:$A$1000, _xlfn.TEXTSPLIT($C6,", "),0)), "")))</f>
        <v>1</v>
      </c>
      <c r="K6" cm="1">
        <f t="array" ref="K6">COUNTA(_xlfn.UNIQUE(_xlfn._xlws.FILTER(Hierarchy!D$2:D$1000, ISNUMBER(MATCH(Hierarchy!$A$2:$A$1000, _xlfn.TEXTSPLIT($C6,", "),0)), "")))</f>
        <v>1</v>
      </c>
      <c r="L6" cm="1">
        <f t="array" ref="L6">COUNTA(_xlfn.UNIQUE(_xlfn._xlws.FILTER(Hierarchy!E$2:E$1000, ISNUMBER(MATCH(Hierarchy!$A$2:$A$1000, _xlfn.TEXTSPLIT($C6,", "),0)), "")))</f>
        <v>1</v>
      </c>
      <c r="M6" cm="1">
        <f t="array" ref="M6">COUNTA(_xlfn.UNIQUE(_xlfn._xlws.FILTER(Hierarchy!F$2:F$1000, ISNUMBER(MATCH(Hierarchy!$A$2:$A$1000, _xlfn.TEXTSPLIT($C6,", "),0)), "")))</f>
        <v>1</v>
      </c>
      <c r="N6" cm="1">
        <f t="array" ref="N6">COUNTA(_xlfn.UNIQUE(_xlfn._xlws.FILTER(Hierarchy!G$2:G$1000, ISNUMBER(MATCH(Hierarchy!$A$2:$A$1000, _xlfn.TEXTSPLIT($C6,", "),0)), "")))</f>
        <v>1</v>
      </c>
      <c r="O6" cm="1">
        <f t="array" ref="O6">COUNTA(_xlfn.UNIQUE(_xlfn._xlws.FILTER(Hierarchy!H$2:H$1000, ISNUMBER(MATCH(Hierarchy!$A$2:$A$1000, _xlfn.TEXTSPLIT($C6,", "),0)), "")))</f>
        <v>1</v>
      </c>
      <c r="P6" cm="1">
        <f t="array" ref="P6">COUNTA(_xlfn.UNIQUE(_xlfn._xlws.FILTER(Hierarchy!I$2:I$1000, ISNUMBER(MATCH(Hierarchy!$A$2:$A$1000, _xlfn.TEXTSPLIT($C6,", "),0)), "")))</f>
        <v>1</v>
      </c>
      <c r="Q6" cm="1">
        <f t="array" ref="Q6">COUNTA(_xlfn.UNIQUE(_xlfn._xlws.FILTER(Hierarchy!J$2:J$1000, ISNUMBER(MATCH(Hierarchy!$A$2:$A$1000, _xlfn.TEXTSPLIT($C6,", "),0)), "")))</f>
        <v>1</v>
      </c>
      <c r="R6" cm="1">
        <f t="array" ref="R6">COUNTA(_xlfn.UNIQUE(_xlfn._xlws.FILTER(Hierarchy!K$2:K$1000, ISNUMBER(MATCH(Hierarchy!$A$2:$A$1000, _xlfn.TEXTSPLIT($C6,", "),0)), "")))</f>
        <v>1</v>
      </c>
      <c r="S6" cm="1">
        <f t="array" ref="S6">COUNTA(_xlfn.UNIQUE(_xlfn._xlws.FILTER(Hierarchy!L$2:L$1000, ISNUMBER(MATCH(Hierarchy!$A$2:$A$1000, _xlfn.TEXTSPLIT($C6,", "),0)), "")))</f>
        <v>1</v>
      </c>
    </row>
    <row r="7" spans="1:20" x14ac:dyDescent="0.2">
      <c r="A7" t="str">
        <f t="shared" si="0"/>
        <v>PA</v>
      </c>
      <c r="B7" t="s">
        <v>257</v>
      </c>
      <c r="C7" t="s">
        <v>326</v>
      </c>
      <c r="D7" cm="1">
        <f t="array" ref="D7">SUMPRODUCT(--(TRIM(IFERROR(_xlfn.TEXTSPLIT(_xlfn.TEXTJOIN(",",TRUE,C7),","),""))&lt;&gt;""))</f>
        <v>4</v>
      </c>
      <c r="E7" s="5" t="str" cm="1">
        <f t="array" ref="E7">_xlfn.TEXTJOIN(", ", TRUE, _xlfn.UNIQUE(_xlfn._xlws.FILTER(Hierarchy!F$2:F$1000, ISNUMBER(MATCH(Hierarchy!$A$2:$A$1000, _xlfn.TEXTSPLIT($C7,", "),0)), "")))</f>
        <v>PA</v>
      </c>
      <c r="F7" t="str" cm="1">
        <f t="array" ref="F7">_xlfn.TEXTJOIN(", ", TRUE, _xlfn.UNIQUE(_xlfn._xlws.FILTER(Hierarchy!H$2:H$1000, ISNUMBER(MATCH(Hierarchy!$A$2:$A$1000, _xlfn.TEXTSPLIT($C7,", "),0)), "")))</f>
        <v>PA</v>
      </c>
      <c r="G7" t="str" cm="1">
        <f t="array" ref="G7">_xlfn.TEXTJOIN(", ", TRUE, _xlfn.UNIQUE(_xlfn._xlws.FILTER(Hierarchy!C$2:C$1000, ISNUMBER(MATCH(Hierarchy!$A$2:$A$1000, _xlfn.TEXTSPLIT($C7,", "),0)), "")))</f>
        <v>PJM</v>
      </c>
      <c r="H7" s="1" cm="1">
        <f t="array" ref="H7">SUMPRODUCT((ISNUMBER(MATCH(Hierarchy!A$2:A$1000, _xlfn.TEXTSPLIT(C7,", "),0)))*Hierarchy!O$2:O$1000)</f>
        <v>13078751</v>
      </c>
      <c r="I7" cm="1">
        <f t="array" ref="I7">COUNTA(_xlfn.UNIQUE(_xlfn._xlws.FILTER(Hierarchy!B$2:B$1000, ISNUMBER(MATCH(Hierarchy!$A$2:$A$1000, _xlfn.TEXTSPLIT($C7,", "),0)), "")))</f>
        <v>1</v>
      </c>
      <c r="J7" cm="1">
        <f t="array" ref="J7">COUNTA(_xlfn.UNIQUE(_xlfn._xlws.FILTER(Hierarchy!C$2:C$1000, ISNUMBER(MATCH(Hierarchy!$A$2:$A$1000, _xlfn.TEXTSPLIT($C7,", "),0)), "")))</f>
        <v>1</v>
      </c>
      <c r="K7" cm="1">
        <f t="array" ref="K7">COUNTA(_xlfn.UNIQUE(_xlfn._xlws.FILTER(Hierarchy!D$2:D$1000, ISNUMBER(MATCH(Hierarchy!$A$2:$A$1000, _xlfn.TEXTSPLIT($C7,", "),0)), "")))</f>
        <v>1</v>
      </c>
      <c r="L7" cm="1">
        <f t="array" ref="L7">COUNTA(_xlfn.UNIQUE(_xlfn._xlws.FILTER(Hierarchy!E$2:E$1000, ISNUMBER(MATCH(Hierarchy!$A$2:$A$1000, _xlfn.TEXTSPLIT($C7,", "),0)), "")))</f>
        <v>1</v>
      </c>
      <c r="M7" cm="1">
        <f t="array" ref="M7">COUNTA(_xlfn.UNIQUE(_xlfn._xlws.FILTER(Hierarchy!F$2:F$1000, ISNUMBER(MATCH(Hierarchy!$A$2:$A$1000, _xlfn.TEXTSPLIT($C7,", "),0)), "")))</f>
        <v>1</v>
      </c>
      <c r="N7" cm="1">
        <f t="array" ref="N7">COUNTA(_xlfn.UNIQUE(_xlfn._xlws.FILTER(Hierarchy!G$2:G$1000, ISNUMBER(MATCH(Hierarchy!$A$2:$A$1000, _xlfn.TEXTSPLIT($C7,", "),0)), "")))</f>
        <v>1</v>
      </c>
      <c r="O7" cm="1">
        <f t="array" ref="O7">COUNTA(_xlfn.UNIQUE(_xlfn._xlws.FILTER(Hierarchy!H$2:H$1000, ISNUMBER(MATCH(Hierarchy!$A$2:$A$1000, _xlfn.TEXTSPLIT($C7,", "),0)), "")))</f>
        <v>1</v>
      </c>
      <c r="P7" cm="1">
        <f t="array" ref="P7">COUNTA(_xlfn.UNIQUE(_xlfn._xlws.FILTER(Hierarchy!I$2:I$1000, ISNUMBER(MATCH(Hierarchy!$A$2:$A$1000, _xlfn.TEXTSPLIT($C7,", "),0)), "")))</f>
        <v>1</v>
      </c>
      <c r="Q7" cm="1">
        <f t="array" ref="Q7">COUNTA(_xlfn.UNIQUE(_xlfn._xlws.FILTER(Hierarchy!J$2:J$1000, ISNUMBER(MATCH(Hierarchy!$A$2:$A$1000, _xlfn.TEXTSPLIT($C7,", "),0)), "")))</f>
        <v>1</v>
      </c>
      <c r="R7" cm="1">
        <f t="array" ref="R7">COUNTA(_xlfn.UNIQUE(_xlfn._xlws.FILTER(Hierarchy!K$2:K$1000, ISNUMBER(MATCH(Hierarchy!$A$2:$A$1000, _xlfn.TEXTSPLIT($C7,", "),0)), "")))</f>
        <v>1</v>
      </c>
      <c r="S7" cm="1">
        <f t="array" ref="S7">COUNTA(_xlfn.UNIQUE(_xlfn._xlws.FILTER(Hierarchy!L$2:L$1000, ISNUMBER(MATCH(Hierarchy!$A$2:$A$1000, _xlfn.TEXTSPLIT($C7,", "),0)), "")))</f>
        <v>1</v>
      </c>
    </row>
    <row r="8" spans="1:20" x14ac:dyDescent="0.2">
      <c r="A8" t="str">
        <f t="shared" si="0"/>
        <v>WA_and_OR</v>
      </c>
      <c r="B8" t="s">
        <v>347</v>
      </c>
      <c r="C8" t="s">
        <v>302</v>
      </c>
      <c r="D8" cm="1">
        <f t="array" ref="D8">SUMPRODUCT(--(TRIM(IFERROR(_xlfn.TEXTSPLIT(_xlfn.TEXTJOIN(",",TRUE,C8),","),""))&lt;&gt;""))</f>
        <v>7</v>
      </c>
      <c r="E8" s="5" t="str" cm="1">
        <f t="array" ref="E8">_xlfn.TEXTJOIN(", ", TRUE, _xlfn.UNIQUE(_xlfn._xlws.FILTER(Hierarchy!F$2:F$1000, ISNUMBER(MATCH(Hierarchy!$A$2:$A$1000, _xlfn.TEXTSPLIT($C8,", "),0)), "")))</f>
        <v>WA, OR</v>
      </c>
      <c r="F8" t="str" cm="1">
        <f t="array" ref="F8">_xlfn.TEXTJOIN(", ", TRUE, _xlfn.UNIQUE(_xlfn._xlws.FILTER(Hierarchy!H$2:H$1000, ISNUMBER(MATCH(Hierarchy!$A$2:$A$1000, _xlfn.TEXTSPLIT($C8,", "),0)), "")))</f>
        <v>WA, OR</v>
      </c>
      <c r="G8" t="str" cm="1">
        <f t="array" ref="G8">_xlfn.TEXTJOIN(", ", TRUE, _xlfn.UNIQUE(_xlfn._xlws.FILTER(Hierarchy!C$2:C$1000, ISNUMBER(MATCH(Hierarchy!$A$2:$A$1000, _xlfn.TEXTSPLIT($C8,", "),0)), "")))</f>
        <v>NorthernGrid</v>
      </c>
      <c r="H8" s="1" cm="1">
        <f t="array" ref="H8">SUMPRODUCT((ISNUMBER(MATCH(Hierarchy!A$2:A$1000, _xlfn.TEXTSPLIT(C8,", "),0)))*Hierarchy!O$2:O$1000)</f>
        <v>12230551</v>
      </c>
      <c r="I8" cm="1">
        <f t="array" ref="I8">COUNTA(_xlfn.UNIQUE(_xlfn._xlws.FILTER(Hierarchy!B$2:B$1000, ISNUMBER(MATCH(Hierarchy!$A$2:$A$1000, _xlfn.TEXTSPLIT($C8,", "),0)), "")))</f>
        <v>1</v>
      </c>
      <c r="J8" cm="1">
        <f t="array" ref="J8">COUNTA(_xlfn.UNIQUE(_xlfn._xlws.FILTER(Hierarchy!C$2:C$1000, ISNUMBER(MATCH(Hierarchy!$A$2:$A$1000, _xlfn.TEXTSPLIT($C8,", "),0)), "")))</f>
        <v>1</v>
      </c>
      <c r="K8" cm="1">
        <f t="array" ref="K8">COUNTA(_xlfn.UNIQUE(_xlfn._xlws.FILTER(Hierarchy!D$2:D$1000, ISNUMBER(MATCH(Hierarchy!$A$2:$A$1000, _xlfn.TEXTSPLIT($C8,", "),0)), "")))</f>
        <v>1</v>
      </c>
      <c r="L8" cm="1">
        <f t="array" ref="L8">COUNTA(_xlfn.UNIQUE(_xlfn._xlws.FILTER(Hierarchy!E$2:E$1000, ISNUMBER(MATCH(Hierarchy!$A$2:$A$1000, _xlfn.TEXTSPLIT($C8,", "),0)), "")))</f>
        <v>1</v>
      </c>
      <c r="M8" cm="1">
        <f t="array" ref="M8">COUNTA(_xlfn.UNIQUE(_xlfn._xlws.FILTER(Hierarchy!F$2:F$1000, ISNUMBER(MATCH(Hierarchy!$A$2:$A$1000, _xlfn.TEXTSPLIT($C8,", "),0)), "")))</f>
        <v>2</v>
      </c>
      <c r="N8" cm="1">
        <f t="array" ref="N8">COUNTA(_xlfn.UNIQUE(_xlfn._xlws.FILTER(Hierarchy!G$2:G$1000, ISNUMBER(MATCH(Hierarchy!$A$2:$A$1000, _xlfn.TEXTSPLIT($C8,", "),0)), "")))</f>
        <v>1</v>
      </c>
      <c r="O8" cm="1">
        <f t="array" ref="O8">COUNTA(_xlfn.UNIQUE(_xlfn._xlws.FILTER(Hierarchy!H$2:H$1000, ISNUMBER(MATCH(Hierarchy!$A$2:$A$1000, _xlfn.TEXTSPLIT($C8,", "),0)), "")))</f>
        <v>2</v>
      </c>
      <c r="P8" cm="1">
        <f t="array" ref="P8">COUNTA(_xlfn.UNIQUE(_xlfn._xlws.FILTER(Hierarchy!I$2:I$1000, ISNUMBER(MATCH(Hierarchy!$A$2:$A$1000, _xlfn.TEXTSPLIT($C8,", "),0)), "")))</f>
        <v>1</v>
      </c>
      <c r="Q8" cm="1">
        <f t="array" ref="Q8">COUNTA(_xlfn.UNIQUE(_xlfn._xlws.FILTER(Hierarchy!J$2:J$1000, ISNUMBER(MATCH(Hierarchy!$A$2:$A$1000, _xlfn.TEXTSPLIT($C8,", "),0)), "")))</f>
        <v>1</v>
      </c>
      <c r="R8" cm="1">
        <f t="array" ref="R8">COUNTA(_xlfn.UNIQUE(_xlfn._xlws.FILTER(Hierarchy!K$2:K$1000, ISNUMBER(MATCH(Hierarchy!$A$2:$A$1000, _xlfn.TEXTSPLIT($C8,", "),0)), "")))</f>
        <v>1</v>
      </c>
      <c r="S8" cm="1">
        <f t="array" ref="S8">COUNTA(_xlfn.UNIQUE(_xlfn._xlws.FILTER(Hierarchy!L$2:L$1000, ISNUMBER(MATCH(Hierarchy!$A$2:$A$1000, _xlfn.TEXTSPLIT($C8,", "),0)), "")))</f>
        <v>5</v>
      </c>
    </row>
    <row r="9" spans="1:20" x14ac:dyDescent="0.2">
      <c r="A9" t="str">
        <f t="shared" si="0"/>
        <v>OH</v>
      </c>
      <c r="B9" t="s">
        <v>251</v>
      </c>
      <c r="C9" t="s">
        <v>325</v>
      </c>
      <c r="D9" cm="1">
        <f t="array" ref="D9">SUMPRODUCT(--(TRIM(IFERROR(_xlfn.TEXTSPLIT(_xlfn.TEXTJOIN(",",TRUE,C9),","),""))&lt;&gt;""))</f>
        <v>4</v>
      </c>
      <c r="E9" s="5" t="str" cm="1">
        <f t="array" ref="E9">_xlfn.TEXTJOIN(", ", TRUE, _xlfn.UNIQUE(_xlfn._xlws.FILTER(Hierarchy!F$2:F$1000, ISNUMBER(MATCH(Hierarchy!$A$2:$A$1000, _xlfn.TEXTSPLIT($C9,", "),0)), "")))</f>
        <v>OH</v>
      </c>
      <c r="F9" t="str" cm="1">
        <f t="array" ref="F9">_xlfn.TEXTJOIN(", ", TRUE, _xlfn.UNIQUE(_xlfn._xlws.FILTER(Hierarchy!H$2:H$1000, ISNUMBER(MATCH(Hierarchy!$A$2:$A$1000, _xlfn.TEXTSPLIT($C9,", "),0)), "")))</f>
        <v>OH</v>
      </c>
      <c r="G9" t="str" cm="1">
        <f t="array" ref="G9">_xlfn.TEXTJOIN(", ", TRUE, _xlfn.UNIQUE(_xlfn._xlws.FILTER(Hierarchy!C$2:C$1000, ISNUMBER(MATCH(Hierarchy!$A$2:$A$1000, _xlfn.TEXTSPLIT($C9,", "),0)), "")))</f>
        <v>PJM</v>
      </c>
      <c r="H9" s="1" cm="1">
        <f t="array" ref="H9">SUMPRODUCT((ISNUMBER(MATCH(Hierarchy!A$2:A$1000, _xlfn.TEXTSPLIT(C9,", "),0)))*Hierarchy!O$2:O$1000)</f>
        <v>11883304</v>
      </c>
      <c r="I9" cm="1">
        <f t="array" ref="I9">COUNTA(_xlfn.UNIQUE(_xlfn._xlws.FILTER(Hierarchy!B$2:B$1000, ISNUMBER(MATCH(Hierarchy!$A$2:$A$1000, _xlfn.TEXTSPLIT($C9,", "),0)), "")))</f>
        <v>1</v>
      </c>
      <c r="J9" cm="1">
        <f t="array" ref="J9">COUNTA(_xlfn.UNIQUE(_xlfn._xlws.FILTER(Hierarchy!C$2:C$1000, ISNUMBER(MATCH(Hierarchy!$A$2:$A$1000, _xlfn.TEXTSPLIT($C9,", "),0)), "")))</f>
        <v>1</v>
      </c>
      <c r="K9" cm="1">
        <f t="array" ref="K9">COUNTA(_xlfn.UNIQUE(_xlfn._xlws.FILTER(Hierarchy!D$2:D$1000, ISNUMBER(MATCH(Hierarchy!$A$2:$A$1000, _xlfn.TEXTSPLIT($C9,", "),0)), "")))</f>
        <v>1</v>
      </c>
      <c r="L9" cm="1">
        <f t="array" ref="L9">COUNTA(_xlfn.UNIQUE(_xlfn._xlws.FILTER(Hierarchy!E$2:E$1000, ISNUMBER(MATCH(Hierarchy!$A$2:$A$1000, _xlfn.TEXTSPLIT($C9,", "),0)), "")))</f>
        <v>1</v>
      </c>
      <c r="M9" cm="1">
        <f t="array" ref="M9">COUNTA(_xlfn.UNIQUE(_xlfn._xlws.FILTER(Hierarchy!F$2:F$1000, ISNUMBER(MATCH(Hierarchy!$A$2:$A$1000, _xlfn.TEXTSPLIT($C9,", "),0)), "")))</f>
        <v>1</v>
      </c>
      <c r="N9" cm="1">
        <f t="array" ref="N9">COUNTA(_xlfn.UNIQUE(_xlfn._xlws.FILTER(Hierarchy!G$2:G$1000, ISNUMBER(MATCH(Hierarchy!$A$2:$A$1000, _xlfn.TEXTSPLIT($C9,", "),0)), "")))</f>
        <v>1</v>
      </c>
      <c r="O9" cm="1">
        <f t="array" ref="O9">COUNTA(_xlfn.UNIQUE(_xlfn._xlws.FILTER(Hierarchy!H$2:H$1000, ISNUMBER(MATCH(Hierarchy!$A$2:$A$1000, _xlfn.TEXTSPLIT($C9,", "),0)), "")))</f>
        <v>1</v>
      </c>
      <c r="P9" cm="1">
        <f t="array" ref="P9">COUNTA(_xlfn.UNIQUE(_xlfn._xlws.FILTER(Hierarchy!I$2:I$1000, ISNUMBER(MATCH(Hierarchy!$A$2:$A$1000, _xlfn.TEXTSPLIT($C9,", "),0)), "")))</f>
        <v>1</v>
      </c>
      <c r="Q9" cm="1">
        <f t="array" ref="Q9">COUNTA(_xlfn.UNIQUE(_xlfn._xlws.FILTER(Hierarchy!J$2:J$1000, ISNUMBER(MATCH(Hierarchy!$A$2:$A$1000, _xlfn.TEXTSPLIT($C9,", "),0)), "")))</f>
        <v>1</v>
      </c>
      <c r="R9" cm="1">
        <f t="array" ref="R9">COUNTA(_xlfn.UNIQUE(_xlfn._xlws.FILTER(Hierarchy!K$2:K$1000, ISNUMBER(MATCH(Hierarchy!$A$2:$A$1000, _xlfn.TEXTSPLIT($C9,", "),0)), "")))</f>
        <v>1</v>
      </c>
      <c r="S9" cm="1">
        <f t="array" ref="S9">COUNTA(_xlfn.UNIQUE(_xlfn._xlws.FILTER(Hierarchy!L$2:L$1000, ISNUMBER(MATCH(Hierarchy!$A$2:$A$1000, _xlfn.TEXTSPLIT($C9,", "),0)), "")))</f>
        <v>1</v>
      </c>
    </row>
    <row r="10" spans="1:20" x14ac:dyDescent="0.2">
      <c r="A10" t="str">
        <f t="shared" si="0"/>
        <v>GA</v>
      </c>
      <c r="B10" t="s">
        <v>220</v>
      </c>
      <c r="C10" t="s">
        <v>219</v>
      </c>
      <c r="D10" cm="1">
        <f t="array" ref="D10">SUMPRODUCT(--(TRIM(IFERROR(_xlfn.TEXTSPLIT(_xlfn.TEXTJOIN(",",TRUE,C10),","),""))&lt;&gt;""))</f>
        <v>1</v>
      </c>
      <c r="E10" s="5" t="str" cm="1">
        <f t="array" ref="E10">_xlfn.TEXTJOIN(", ", TRUE, _xlfn.UNIQUE(_xlfn._xlws.FILTER(Hierarchy!F$2:F$1000, ISNUMBER(MATCH(Hierarchy!$A$2:$A$1000, _xlfn.TEXTSPLIT($C10,", "),0)), "")))</f>
        <v>GA</v>
      </c>
      <c r="F10" t="str" cm="1">
        <f t="array" ref="F10">_xlfn.TEXTJOIN(", ", TRUE, _xlfn.UNIQUE(_xlfn._xlws.FILTER(Hierarchy!H$2:H$1000, ISNUMBER(MATCH(Hierarchy!$A$2:$A$1000, _xlfn.TEXTSPLIT($C10,", "),0)), "")))</f>
        <v>GA</v>
      </c>
      <c r="G10" t="str" cm="1">
        <f t="array" ref="G10">_xlfn.TEXTJOIN(", ", TRUE, _xlfn.UNIQUE(_xlfn._xlws.FILTER(Hierarchy!C$2:C$1000, ISNUMBER(MATCH(Hierarchy!$A$2:$A$1000, _xlfn.TEXTSPLIT($C10,", "),0)), "")))</f>
        <v>SERTP</v>
      </c>
      <c r="H10" s="1" cm="1">
        <f t="array" ref="H10">SUMPRODUCT((ISNUMBER(MATCH(Hierarchy!A$2:A$1000, _xlfn.TEXTSPLIT(C10,", "),0)))*Hierarchy!O$2:O$1000)</f>
        <v>11180878</v>
      </c>
      <c r="I10" cm="1">
        <f t="array" ref="I10">COUNTA(_xlfn.UNIQUE(_xlfn._xlws.FILTER(Hierarchy!B$2:B$1000, ISNUMBER(MATCH(Hierarchy!$A$2:$A$1000, _xlfn.TEXTSPLIT($C10,", "),0)), "")))</f>
        <v>1</v>
      </c>
      <c r="J10" cm="1">
        <f t="array" ref="J10">COUNTA(_xlfn.UNIQUE(_xlfn._xlws.FILTER(Hierarchy!C$2:C$1000, ISNUMBER(MATCH(Hierarchy!$A$2:$A$1000, _xlfn.TEXTSPLIT($C10,", "),0)), "")))</f>
        <v>1</v>
      </c>
      <c r="K10" cm="1">
        <f t="array" ref="K10">COUNTA(_xlfn.UNIQUE(_xlfn._xlws.FILTER(Hierarchy!D$2:D$1000, ISNUMBER(MATCH(Hierarchy!$A$2:$A$1000, _xlfn.TEXTSPLIT($C10,", "),0)), "")))</f>
        <v>1</v>
      </c>
      <c r="L10" cm="1">
        <f t="array" ref="L10">COUNTA(_xlfn.UNIQUE(_xlfn._xlws.FILTER(Hierarchy!E$2:E$1000, ISNUMBER(MATCH(Hierarchy!$A$2:$A$1000, _xlfn.TEXTSPLIT($C10,", "),0)), "")))</f>
        <v>1</v>
      </c>
      <c r="M10" cm="1">
        <f t="array" ref="M10">COUNTA(_xlfn.UNIQUE(_xlfn._xlws.FILTER(Hierarchy!F$2:F$1000, ISNUMBER(MATCH(Hierarchy!$A$2:$A$1000, _xlfn.TEXTSPLIT($C10,", "),0)), "")))</f>
        <v>1</v>
      </c>
      <c r="N10" cm="1">
        <f t="array" ref="N10">COUNTA(_xlfn.UNIQUE(_xlfn._xlws.FILTER(Hierarchy!G$2:G$1000, ISNUMBER(MATCH(Hierarchy!$A$2:$A$1000, _xlfn.TEXTSPLIT($C10,", "),0)), "")))</f>
        <v>1</v>
      </c>
      <c r="O10" cm="1">
        <f t="array" ref="O10">COUNTA(_xlfn.UNIQUE(_xlfn._xlws.FILTER(Hierarchy!H$2:H$1000, ISNUMBER(MATCH(Hierarchy!$A$2:$A$1000, _xlfn.TEXTSPLIT($C10,", "),0)), "")))</f>
        <v>1</v>
      </c>
      <c r="P10" cm="1">
        <f t="array" ref="P10">COUNTA(_xlfn.UNIQUE(_xlfn._xlws.FILTER(Hierarchy!I$2:I$1000, ISNUMBER(MATCH(Hierarchy!$A$2:$A$1000, _xlfn.TEXTSPLIT($C10,", "),0)), "")))</f>
        <v>1</v>
      </c>
      <c r="Q10" cm="1">
        <f t="array" ref="Q10">COUNTA(_xlfn.UNIQUE(_xlfn._xlws.FILTER(Hierarchy!J$2:J$1000, ISNUMBER(MATCH(Hierarchy!$A$2:$A$1000, _xlfn.TEXTSPLIT($C10,", "),0)), "")))</f>
        <v>1</v>
      </c>
      <c r="R10" cm="1">
        <f t="array" ref="R10">COUNTA(_xlfn.UNIQUE(_xlfn._xlws.FILTER(Hierarchy!K$2:K$1000, ISNUMBER(MATCH(Hierarchy!$A$2:$A$1000, _xlfn.TEXTSPLIT($C10,", "),0)), "")))</f>
        <v>1</v>
      </c>
      <c r="S10" cm="1">
        <f t="array" ref="S10">COUNTA(_xlfn.UNIQUE(_xlfn._xlws.FILTER(Hierarchy!L$2:L$1000, ISNUMBER(MATCH(Hierarchy!$A$2:$A$1000, _xlfn.TEXTSPLIT($C10,", "),0)), "")))</f>
        <v>1</v>
      </c>
    </row>
    <row r="11" spans="1:20" x14ac:dyDescent="0.2">
      <c r="A11" t="str">
        <f t="shared" si="0"/>
        <v>NC</v>
      </c>
      <c r="B11" t="s">
        <v>228</v>
      </c>
      <c r="C11" t="s">
        <v>323</v>
      </c>
      <c r="D11" cm="1">
        <f t="array" ref="D11">SUMPRODUCT(--(TRIM(IFERROR(_xlfn.TEXTSPLIT(_xlfn.TEXTJOIN(",",TRUE,C11),","),""))&lt;&gt;""))</f>
        <v>2</v>
      </c>
      <c r="E11" s="5" t="str" cm="1">
        <f t="array" ref="E11">_xlfn.TEXTJOIN(", ", TRUE, _xlfn.UNIQUE(_xlfn._xlws.FILTER(Hierarchy!F$2:F$1000, ISNUMBER(MATCH(Hierarchy!$A$2:$A$1000, _xlfn.TEXTSPLIT($C11,", "),0)), "")))</f>
        <v>NC</v>
      </c>
      <c r="F11" t="str" cm="1">
        <f t="array" ref="F11">_xlfn.TEXTJOIN(", ", TRUE, _xlfn.UNIQUE(_xlfn._xlws.FILTER(Hierarchy!H$2:H$1000, ISNUMBER(MATCH(Hierarchy!$A$2:$A$1000, _xlfn.TEXTSPLIT($C11,", "),0)), "")))</f>
        <v>NC</v>
      </c>
      <c r="G11" t="str" cm="1">
        <f t="array" ref="G11">_xlfn.TEXTJOIN(", ", TRUE, _xlfn.UNIQUE(_xlfn._xlws.FILTER(Hierarchy!C$2:C$1000, ISNUMBER(MATCH(Hierarchy!$A$2:$A$1000, _xlfn.TEXTSPLIT($C11,", "),0)), "")))</f>
        <v>SERTP</v>
      </c>
      <c r="H11" s="1" cm="1">
        <f t="array" ref="H11">SUMPRODUCT((ISNUMBER(MATCH(Hierarchy!A$2:A$1000, _xlfn.TEXTSPLIT(C11,", "),0)))*Hierarchy!O$2:O$1000)</f>
        <v>11046024</v>
      </c>
      <c r="I11" cm="1">
        <f t="array" ref="I11">COUNTA(_xlfn.UNIQUE(_xlfn._xlws.FILTER(Hierarchy!B$2:B$1000, ISNUMBER(MATCH(Hierarchy!$A$2:$A$1000, _xlfn.TEXTSPLIT($C11,", "),0)), "")))</f>
        <v>1</v>
      </c>
      <c r="J11" cm="1">
        <f t="array" ref="J11">COUNTA(_xlfn.UNIQUE(_xlfn._xlws.FILTER(Hierarchy!C$2:C$1000, ISNUMBER(MATCH(Hierarchy!$A$2:$A$1000, _xlfn.TEXTSPLIT($C11,", "),0)), "")))</f>
        <v>1</v>
      </c>
      <c r="K11" cm="1">
        <f t="array" ref="K11">COUNTA(_xlfn.UNIQUE(_xlfn._xlws.FILTER(Hierarchy!D$2:D$1000, ISNUMBER(MATCH(Hierarchy!$A$2:$A$1000, _xlfn.TEXTSPLIT($C11,", "),0)), "")))</f>
        <v>1</v>
      </c>
      <c r="L11" cm="1">
        <f t="array" ref="L11">COUNTA(_xlfn.UNIQUE(_xlfn._xlws.FILTER(Hierarchy!E$2:E$1000, ISNUMBER(MATCH(Hierarchy!$A$2:$A$1000, _xlfn.TEXTSPLIT($C11,", "),0)), "")))</f>
        <v>1</v>
      </c>
      <c r="M11" cm="1">
        <f t="array" ref="M11">COUNTA(_xlfn.UNIQUE(_xlfn._xlws.FILTER(Hierarchy!F$2:F$1000, ISNUMBER(MATCH(Hierarchy!$A$2:$A$1000, _xlfn.TEXTSPLIT($C11,", "),0)), "")))</f>
        <v>1</v>
      </c>
      <c r="N11" cm="1">
        <f t="array" ref="N11">COUNTA(_xlfn.UNIQUE(_xlfn._xlws.FILTER(Hierarchy!G$2:G$1000, ISNUMBER(MATCH(Hierarchy!$A$2:$A$1000, _xlfn.TEXTSPLIT($C11,", "),0)), "")))</f>
        <v>1</v>
      </c>
      <c r="O11" cm="1">
        <f t="array" ref="O11">COUNTA(_xlfn.UNIQUE(_xlfn._xlws.FILTER(Hierarchy!H$2:H$1000, ISNUMBER(MATCH(Hierarchy!$A$2:$A$1000, _xlfn.TEXTSPLIT($C11,", "),0)), "")))</f>
        <v>1</v>
      </c>
      <c r="P11" cm="1">
        <f t="array" ref="P11">COUNTA(_xlfn.UNIQUE(_xlfn._xlws.FILTER(Hierarchy!I$2:I$1000, ISNUMBER(MATCH(Hierarchy!$A$2:$A$1000, _xlfn.TEXTSPLIT($C11,", "),0)), "")))</f>
        <v>1</v>
      </c>
      <c r="Q11" cm="1">
        <f t="array" ref="Q11">COUNTA(_xlfn.UNIQUE(_xlfn._xlws.FILTER(Hierarchy!J$2:J$1000, ISNUMBER(MATCH(Hierarchy!$A$2:$A$1000, _xlfn.TEXTSPLIT($C11,", "),0)), "")))</f>
        <v>1</v>
      </c>
      <c r="R11" cm="1">
        <f t="array" ref="R11">COUNTA(_xlfn.UNIQUE(_xlfn._xlws.FILTER(Hierarchy!K$2:K$1000, ISNUMBER(MATCH(Hierarchy!$A$2:$A$1000, _xlfn.TEXTSPLIT($C11,", "),0)), "")))</f>
        <v>1</v>
      </c>
      <c r="S11" cm="1">
        <f t="array" ref="S11">COUNTA(_xlfn.UNIQUE(_xlfn._xlws.FILTER(Hierarchy!L$2:L$1000, ISNUMBER(MATCH(Hierarchy!$A$2:$A$1000, _xlfn.TEXTSPLIT($C11,", "),0)), "")))</f>
        <v>2</v>
      </c>
    </row>
    <row r="12" spans="1:20" x14ac:dyDescent="0.2">
      <c r="A12" t="str">
        <f t="shared" si="0"/>
        <v>DE_and_NJ</v>
      </c>
      <c r="B12" t="s">
        <v>348</v>
      </c>
      <c r="C12" t="s">
        <v>329</v>
      </c>
      <c r="D12" cm="1">
        <f t="array" ref="D12">SUMPRODUCT(--(TRIM(IFERROR(_xlfn.TEXTSPLIT(_xlfn.TEXTJOIN(",",TRUE,C12),","),""))&lt;&gt;""))</f>
        <v>2</v>
      </c>
      <c r="E12" s="5" t="str" cm="1">
        <f t="array" ref="E12">_xlfn.TEXTJOIN(", ", TRUE, _xlfn.UNIQUE(_xlfn._xlws.FILTER(Hierarchy!F$2:F$1000, ISNUMBER(MATCH(Hierarchy!$A$2:$A$1000, _xlfn.TEXTSPLIT($C12,", "),0)), "")))</f>
        <v>DE, NJ</v>
      </c>
      <c r="F12" t="str" cm="1">
        <f t="array" ref="F12">_xlfn.TEXTJOIN(", ", TRUE, _xlfn.UNIQUE(_xlfn._xlws.FILTER(Hierarchy!H$2:H$1000, ISNUMBER(MATCH(Hierarchy!$A$2:$A$1000, _xlfn.TEXTSPLIT($C12,", "),0)), "")))</f>
        <v>DE, NJ</v>
      </c>
      <c r="G12" t="str" cm="1">
        <f t="array" ref="G12">_xlfn.TEXTJOIN(", ", TRUE, _xlfn.UNIQUE(_xlfn._xlws.FILTER(Hierarchy!C$2:C$1000, ISNUMBER(MATCH(Hierarchy!$A$2:$A$1000, _xlfn.TEXTSPLIT($C12,", "),0)), "")))</f>
        <v>PJM</v>
      </c>
      <c r="H12" s="1" cm="1">
        <f t="array" ref="H12">SUMPRODUCT((ISNUMBER(MATCH(Hierarchy!A$2:A$1000, _xlfn.TEXTSPLIT(C12,", "),0)))*Hierarchy!O$2:O$1000)</f>
        <v>10552768</v>
      </c>
      <c r="I12" cm="1">
        <f t="array" ref="I12">COUNTA(_xlfn.UNIQUE(_xlfn._xlws.FILTER(Hierarchy!B$2:B$1000, ISNUMBER(MATCH(Hierarchy!$A$2:$A$1000, _xlfn.TEXTSPLIT($C12,", "),0)), "")))</f>
        <v>1</v>
      </c>
      <c r="J12" cm="1">
        <f t="array" ref="J12">COUNTA(_xlfn.UNIQUE(_xlfn._xlws.FILTER(Hierarchy!C$2:C$1000, ISNUMBER(MATCH(Hierarchy!$A$2:$A$1000, _xlfn.TEXTSPLIT($C12,", "),0)), "")))</f>
        <v>1</v>
      </c>
      <c r="K12" cm="1">
        <f t="array" ref="K12">COUNTA(_xlfn.UNIQUE(_xlfn._xlws.FILTER(Hierarchy!D$2:D$1000, ISNUMBER(MATCH(Hierarchy!$A$2:$A$1000, _xlfn.TEXTSPLIT($C12,", "),0)), "")))</f>
        <v>1</v>
      </c>
      <c r="L12" cm="1">
        <f t="array" ref="L12">COUNTA(_xlfn.UNIQUE(_xlfn._xlws.FILTER(Hierarchy!E$2:E$1000, ISNUMBER(MATCH(Hierarchy!$A$2:$A$1000, _xlfn.TEXTSPLIT($C12,", "),0)), "")))</f>
        <v>2</v>
      </c>
      <c r="M12" cm="1">
        <f t="array" ref="M12">COUNTA(_xlfn.UNIQUE(_xlfn._xlws.FILTER(Hierarchy!F$2:F$1000, ISNUMBER(MATCH(Hierarchy!$A$2:$A$1000, _xlfn.TEXTSPLIT($C12,", "),0)), "")))</f>
        <v>2</v>
      </c>
      <c r="N12" cm="1">
        <f t="array" ref="N12">COUNTA(_xlfn.UNIQUE(_xlfn._xlws.FILTER(Hierarchy!G$2:G$1000, ISNUMBER(MATCH(Hierarchy!$A$2:$A$1000, _xlfn.TEXTSPLIT($C12,", "),0)), "")))</f>
        <v>1</v>
      </c>
      <c r="O12" cm="1">
        <f t="array" ref="O12">COUNTA(_xlfn.UNIQUE(_xlfn._xlws.FILTER(Hierarchy!H$2:H$1000, ISNUMBER(MATCH(Hierarchy!$A$2:$A$1000, _xlfn.TEXTSPLIT($C12,", "),0)), "")))</f>
        <v>2</v>
      </c>
      <c r="P12" cm="1">
        <f t="array" ref="P12">COUNTA(_xlfn.UNIQUE(_xlfn._xlws.FILTER(Hierarchy!I$2:I$1000, ISNUMBER(MATCH(Hierarchy!$A$2:$A$1000, _xlfn.TEXTSPLIT($C12,", "),0)), "")))</f>
        <v>1</v>
      </c>
      <c r="Q12" cm="1">
        <f t="array" ref="Q12">COUNTA(_xlfn.UNIQUE(_xlfn._xlws.FILTER(Hierarchy!J$2:J$1000, ISNUMBER(MATCH(Hierarchy!$A$2:$A$1000, _xlfn.TEXTSPLIT($C12,", "),0)), "")))</f>
        <v>1</v>
      </c>
      <c r="R12" cm="1">
        <f t="array" ref="R12">COUNTA(_xlfn.UNIQUE(_xlfn._xlws.FILTER(Hierarchy!K$2:K$1000, ISNUMBER(MATCH(Hierarchy!$A$2:$A$1000, _xlfn.TEXTSPLIT($C12,", "),0)), "")))</f>
        <v>1</v>
      </c>
      <c r="S12" cm="1">
        <f t="array" ref="S12">COUNTA(_xlfn.UNIQUE(_xlfn._xlws.FILTER(Hierarchy!L$2:L$1000, ISNUMBER(MATCH(Hierarchy!$A$2:$A$1000, _xlfn.TEXTSPLIT($C12,", "),0)), "")))</f>
        <v>1</v>
      </c>
    </row>
    <row r="13" spans="1:20" x14ac:dyDescent="0.2">
      <c r="A13" t="str">
        <f t="shared" si="0"/>
        <v>Chicago_and_sw_MI</v>
      </c>
      <c r="B13" t="s">
        <v>356</v>
      </c>
      <c r="C13" t="s">
        <v>334</v>
      </c>
      <c r="D13" cm="1">
        <f t="array" ref="D13">SUMPRODUCT(--(TRIM(IFERROR(_xlfn.TEXTSPLIT(_xlfn.TEXTJOIN(",",TRUE,C13),","),""))&lt;&gt;""))</f>
        <v>2</v>
      </c>
      <c r="E13" s="5" t="str" cm="1">
        <f t="array" ref="E13">_xlfn.TEXTJOIN(", ", TRUE, _xlfn.UNIQUE(_xlfn._xlws.FILTER(Hierarchy!F$2:F$1000, ISNUMBER(MATCH(Hierarchy!$A$2:$A$1000, _xlfn.TEXTSPLIT($C13,", "),0)), "")))</f>
        <v>IL, MI</v>
      </c>
      <c r="F13" t="str" cm="1">
        <f t="array" ref="F13">_xlfn.TEXTJOIN(", ", TRUE, _xlfn.UNIQUE(_xlfn._xlws.FILTER(Hierarchy!H$2:H$1000, ISNUMBER(MATCH(Hierarchy!$A$2:$A$1000, _xlfn.TEXTSPLIT($C13,", "),0)), "")))</f>
        <v>IL, MI</v>
      </c>
      <c r="G13" t="str" cm="1">
        <f t="array" ref="G13">_xlfn.TEXTJOIN(", ", TRUE, _xlfn.UNIQUE(_xlfn._xlws.FILTER(Hierarchy!C$2:C$1000, ISNUMBER(MATCH(Hierarchy!$A$2:$A$1000, _xlfn.TEXTSPLIT($C13,", "),0)), "")))</f>
        <v>PJM</v>
      </c>
      <c r="H13" s="1" cm="1">
        <f t="array" ref="H13">SUMPRODUCT((ISNUMBER(MATCH(Hierarchy!A$2:A$1000, _xlfn.TEXTSPLIT(C13,", "),0)))*Hierarchy!O$2:O$1000)</f>
        <v>10095460</v>
      </c>
      <c r="I13" cm="1">
        <f t="array" ref="I13">COUNTA(_xlfn.UNIQUE(_xlfn._xlws.FILTER(Hierarchy!B$2:B$1000, ISNUMBER(MATCH(Hierarchy!$A$2:$A$1000, _xlfn.TEXTSPLIT($C13,", "),0)), "")))</f>
        <v>1</v>
      </c>
      <c r="J13" cm="1">
        <f t="array" ref="J13">COUNTA(_xlfn.UNIQUE(_xlfn._xlws.FILTER(Hierarchy!C$2:C$1000, ISNUMBER(MATCH(Hierarchy!$A$2:$A$1000, _xlfn.TEXTSPLIT($C13,", "),0)), "")))</f>
        <v>1</v>
      </c>
      <c r="K13" cm="1">
        <f t="array" ref="K13">COUNTA(_xlfn.UNIQUE(_xlfn._xlws.FILTER(Hierarchy!D$2:D$1000, ISNUMBER(MATCH(Hierarchy!$A$2:$A$1000, _xlfn.TEXTSPLIT($C13,", "),0)), "")))</f>
        <v>1</v>
      </c>
      <c r="L13" cm="1">
        <f t="array" ref="L13">COUNTA(_xlfn.UNIQUE(_xlfn._xlws.FILTER(Hierarchy!E$2:E$1000, ISNUMBER(MATCH(Hierarchy!$A$2:$A$1000, _xlfn.TEXTSPLIT($C13,", "),0)), "")))</f>
        <v>1</v>
      </c>
      <c r="M13" cm="1">
        <f t="array" ref="M13">COUNTA(_xlfn.UNIQUE(_xlfn._xlws.FILTER(Hierarchy!F$2:F$1000, ISNUMBER(MATCH(Hierarchy!$A$2:$A$1000, _xlfn.TEXTSPLIT($C13,", "),0)), "")))</f>
        <v>2</v>
      </c>
      <c r="N13" cm="1">
        <f t="array" ref="N13">COUNTA(_xlfn.UNIQUE(_xlfn._xlws.FILTER(Hierarchy!G$2:G$1000, ISNUMBER(MATCH(Hierarchy!$A$2:$A$1000, _xlfn.TEXTSPLIT($C13,", "),0)), "")))</f>
        <v>1</v>
      </c>
      <c r="O13" cm="1">
        <f t="array" ref="O13">COUNTA(_xlfn.UNIQUE(_xlfn._xlws.FILTER(Hierarchy!H$2:H$1000, ISNUMBER(MATCH(Hierarchy!$A$2:$A$1000, _xlfn.TEXTSPLIT($C13,", "),0)), "")))</f>
        <v>2</v>
      </c>
      <c r="P13" cm="1">
        <f t="array" ref="P13">COUNTA(_xlfn.UNIQUE(_xlfn._xlws.FILTER(Hierarchy!I$2:I$1000, ISNUMBER(MATCH(Hierarchy!$A$2:$A$1000, _xlfn.TEXTSPLIT($C13,", "),0)), "")))</f>
        <v>1</v>
      </c>
      <c r="Q13" cm="1">
        <f t="array" ref="Q13">COUNTA(_xlfn.UNIQUE(_xlfn._xlws.FILTER(Hierarchy!J$2:J$1000, ISNUMBER(MATCH(Hierarchy!$A$2:$A$1000, _xlfn.TEXTSPLIT($C13,", "),0)), "")))</f>
        <v>2</v>
      </c>
      <c r="R13" cm="1">
        <f t="array" ref="R13">COUNTA(_xlfn.UNIQUE(_xlfn._xlws.FILTER(Hierarchy!K$2:K$1000, ISNUMBER(MATCH(Hierarchy!$A$2:$A$1000, _xlfn.TEXTSPLIT($C13,", "),0)), "")))</f>
        <v>1</v>
      </c>
      <c r="S13" cm="1">
        <f t="array" ref="S13">COUNTA(_xlfn.UNIQUE(_xlfn._xlws.FILTER(Hierarchy!L$2:L$1000, ISNUMBER(MATCH(Hierarchy!$A$2:$A$1000, _xlfn.TEXTSPLIT($C13,", "),0)), "")))</f>
        <v>1</v>
      </c>
    </row>
    <row r="14" spans="1:20" x14ac:dyDescent="0.2">
      <c r="A14" t="str">
        <f t="shared" si="0"/>
        <v>MI</v>
      </c>
      <c r="B14" t="s">
        <v>178</v>
      </c>
      <c r="C14" t="s">
        <v>241</v>
      </c>
      <c r="D14" cm="1">
        <f t="array" ref="D14">SUMPRODUCT(--(TRIM(IFERROR(_xlfn.TEXTSPLIT(_xlfn.TEXTJOIN(",",TRUE,C14),","),""))&lt;&gt;""))</f>
        <v>1</v>
      </c>
      <c r="E14" s="5" t="str" cm="1">
        <f t="array" ref="E14">_xlfn.TEXTJOIN(", ", TRUE, _xlfn.UNIQUE(_xlfn._xlws.FILTER(Hierarchy!F$2:F$1000, ISNUMBER(MATCH(Hierarchy!$A$2:$A$1000, _xlfn.TEXTSPLIT($C14,", "),0)), "")))</f>
        <v>MI</v>
      </c>
      <c r="F14" t="str" cm="1">
        <f t="array" ref="F14">_xlfn.TEXTJOIN(", ", TRUE, _xlfn.UNIQUE(_xlfn._xlws.FILTER(Hierarchy!H$2:H$1000, ISNUMBER(MATCH(Hierarchy!$A$2:$A$1000, _xlfn.TEXTSPLIT($C14,", "),0)), "")))</f>
        <v>MI</v>
      </c>
      <c r="G14" t="str" cm="1">
        <f t="array" ref="G14">_xlfn.TEXTJOIN(", ", TRUE, _xlfn.UNIQUE(_xlfn._xlws.FILTER(Hierarchy!C$2:C$1000, ISNUMBER(MATCH(Hierarchy!$A$2:$A$1000, _xlfn.TEXTSPLIT($C14,", "),0)), "")))</f>
        <v>MISO</v>
      </c>
      <c r="H14" s="1" cm="1">
        <f t="array" ref="H14">SUMPRODUCT((ISNUMBER(MATCH(Hierarchy!A$2:A$1000, _xlfn.TEXTSPLIT(C14,", "),0)))*Hierarchy!O$2:O$1000)</f>
        <v>9291599</v>
      </c>
      <c r="I14" cm="1">
        <f t="array" ref="I14">COUNTA(_xlfn.UNIQUE(_xlfn._xlws.FILTER(Hierarchy!B$2:B$1000, ISNUMBER(MATCH(Hierarchy!$A$2:$A$1000, _xlfn.TEXTSPLIT($C14,", "),0)), "")))</f>
        <v>1</v>
      </c>
      <c r="J14" cm="1">
        <f t="array" ref="J14">COUNTA(_xlfn.UNIQUE(_xlfn._xlws.FILTER(Hierarchy!C$2:C$1000, ISNUMBER(MATCH(Hierarchy!$A$2:$A$1000, _xlfn.TEXTSPLIT($C14,", "),0)), "")))</f>
        <v>1</v>
      </c>
      <c r="K14" cm="1">
        <f t="array" ref="K14">COUNTA(_xlfn.UNIQUE(_xlfn._xlws.FILTER(Hierarchy!D$2:D$1000, ISNUMBER(MATCH(Hierarchy!$A$2:$A$1000, _xlfn.TEXTSPLIT($C14,", "),0)), "")))</f>
        <v>1</v>
      </c>
      <c r="L14" cm="1">
        <f t="array" ref="L14">COUNTA(_xlfn.UNIQUE(_xlfn._xlws.FILTER(Hierarchy!E$2:E$1000, ISNUMBER(MATCH(Hierarchy!$A$2:$A$1000, _xlfn.TEXTSPLIT($C14,", "),0)), "")))</f>
        <v>1</v>
      </c>
      <c r="M14" cm="1">
        <f t="array" ref="M14">COUNTA(_xlfn.UNIQUE(_xlfn._xlws.FILTER(Hierarchy!F$2:F$1000, ISNUMBER(MATCH(Hierarchy!$A$2:$A$1000, _xlfn.TEXTSPLIT($C14,", "),0)), "")))</f>
        <v>1</v>
      </c>
      <c r="N14" cm="1">
        <f t="array" ref="N14">COUNTA(_xlfn.UNIQUE(_xlfn._xlws.FILTER(Hierarchy!G$2:G$1000, ISNUMBER(MATCH(Hierarchy!$A$2:$A$1000, _xlfn.TEXTSPLIT($C14,", "),0)), "")))</f>
        <v>1</v>
      </c>
      <c r="O14" cm="1">
        <f t="array" ref="O14">COUNTA(_xlfn.UNIQUE(_xlfn._xlws.FILTER(Hierarchy!H$2:H$1000, ISNUMBER(MATCH(Hierarchy!$A$2:$A$1000, _xlfn.TEXTSPLIT($C14,", "),0)), "")))</f>
        <v>1</v>
      </c>
      <c r="P14" cm="1">
        <f t="array" ref="P14">COUNTA(_xlfn.UNIQUE(_xlfn._xlws.FILTER(Hierarchy!I$2:I$1000, ISNUMBER(MATCH(Hierarchy!$A$2:$A$1000, _xlfn.TEXTSPLIT($C14,", "),0)), "")))</f>
        <v>1</v>
      </c>
      <c r="Q14" cm="1">
        <f t="array" ref="Q14">COUNTA(_xlfn.UNIQUE(_xlfn._xlws.FILTER(Hierarchy!J$2:J$1000, ISNUMBER(MATCH(Hierarchy!$A$2:$A$1000, _xlfn.TEXTSPLIT($C14,", "),0)), "")))</f>
        <v>1</v>
      </c>
      <c r="R14" cm="1">
        <f t="array" ref="R14">COUNTA(_xlfn.UNIQUE(_xlfn._xlws.FILTER(Hierarchy!K$2:K$1000, ISNUMBER(MATCH(Hierarchy!$A$2:$A$1000, _xlfn.TEXTSPLIT($C14,", "),0)), "")))</f>
        <v>1</v>
      </c>
      <c r="S14" cm="1">
        <f t="array" ref="S14">COUNTA(_xlfn.UNIQUE(_xlfn._xlws.FILTER(Hierarchy!L$2:L$1000, ISNUMBER(MATCH(Hierarchy!$A$2:$A$1000, _xlfn.TEXTSPLIT($C14,", "),0)), "")))</f>
        <v>1</v>
      </c>
    </row>
    <row r="15" spans="1:20" x14ac:dyDescent="0.2">
      <c r="A15" t="str">
        <f t="shared" si="0"/>
        <v>VA</v>
      </c>
      <c r="B15" t="s">
        <v>233</v>
      </c>
      <c r="C15" t="s">
        <v>328</v>
      </c>
      <c r="D15" cm="1">
        <f t="array" ref="D15">SUMPRODUCT(--(TRIM(IFERROR(_xlfn.TEXTSPLIT(_xlfn.TEXTJOIN(",",TRUE,C15),","),""))&lt;&gt;""))</f>
        <v>3</v>
      </c>
      <c r="E15" s="5" t="str" cm="1">
        <f t="array" ref="E15">_xlfn.TEXTJOIN(", ", TRUE, _xlfn.UNIQUE(_xlfn._xlws.FILTER(Hierarchy!F$2:F$1000, ISNUMBER(MATCH(Hierarchy!$A$2:$A$1000, _xlfn.TEXTSPLIT($C15,", "),0)), "")))</f>
        <v>VA</v>
      </c>
      <c r="F15" t="str" cm="1">
        <f t="array" ref="F15">_xlfn.TEXTJOIN(", ", TRUE, _xlfn.UNIQUE(_xlfn._xlws.FILTER(Hierarchy!H$2:H$1000, ISNUMBER(MATCH(Hierarchy!$A$2:$A$1000, _xlfn.TEXTSPLIT($C15,", "),0)), "")))</f>
        <v>VA</v>
      </c>
      <c r="G15" t="str" cm="1">
        <f t="array" ref="G15">_xlfn.TEXTJOIN(", ", TRUE, _xlfn.UNIQUE(_xlfn._xlws.FILTER(Hierarchy!C$2:C$1000, ISNUMBER(MATCH(Hierarchy!$A$2:$A$1000, _xlfn.TEXTSPLIT($C15,", "),0)), "")))</f>
        <v>PJM</v>
      </c>
      <c r="H15" s="1" cm="1">
        <f t="array" ref="H15">SUMPRODUCT((ISNUMBER(MATCH(Hierarchy!A$2:A$1000, _xlfn.TEXTSPLIT(C15,", "),0)))*Hierarchy!O$2:O$1000)</f>
        <v>8765780</v>
      </c>
      <c r="I15" cm="1">
        <f t="array" ref="I15">COUNTA(_xlfn.UNIQUE(_xlfn._xlws.FILTER(Hierarchy!B$2:B$1000, ISNUMBER(MATCH(Hierarchy!$A$2:$A$1000, _xlfn.TEXTSPLIT($C15,", "),0)), "")))</f>
        <v>1</v>
      </c>
      <c r="J15" cm="1">
        <f t="array" ref="J15">COUNTA(_xlfn.UNIQUE(_xlfn._xlws.FILTER(Hierarchy!C$2:C$1000, ISNUMBER(MATCH(Hierarchy!$A$2:$A$1000, _xlfn.TEXTSPLIT($C15,", "),0)), "")))</f>
        <v>1</v>
      </c>
      <c r="K15" cm="1">
        <f t="array" ref="K15">COUNTA(_xlfn.UNIQUE(_xlfn._xlws.FILTER(Hierarchy!D$2:D$1000, ISNUMBER(MATCH(Hierarchy!$A$2:$A$1000, _xlfn.TEXTSPLIT($C15,", "),0)), "")))</f>
        <v>1</v>
      </c>
      <c r="L15" cm="1">
        <f t="array" ref="L15">COUNTA(_xlfn.UNIQUE(_xlfn._xlws.FILTER(Hierarchy!E$2:E$1000, ISNUMBER(MATCH(Hierarchy!$A$2:$A$1000, _xlfn.TEXTSPLIT($C15,", "),0)), "")))</f>
        <v>1</v>
      </c>
      <c r="M15" cm="1">
        <f t="array" ref="M15">COUNTA(_xlfn.UNIQUE(_xlfn._xlws.FILTER(Hierarchy!F$2:F$1000, ISNUMBER(MATCH(Hierarchy!$A$2:$A$1000, _xlfn.TEXTSPLIT($C15,", "),0)), "")))</f>
        <v>1</v>
      </c>
      <c r="N15" cm="1">
        <f t="array" ref="N15">COUNTA(_xlfn.UNIQUE(_xlfn._xlws.FILTER(Hierarchy!G$2:G$1000, ISNUMBER(MATCH(Hierarchy!$A$2:$A$1000, _xlfn.TEXTSPLIT($C15,", "),0)), "")))</f>
        <v>1</v>
      </c>
      <c r="O15" cm="1">
        <f t="array" ref="O15">COUNTA(_xlfn.UNIQUE(_xlfn._xlws.FILTER(Hierarchy!H$2:H$1000, ISNUMBER(MATCH(Hierarchy!$A$2:$A$1000, _xlfn.TEXTSPLIT($C15,", "),0)), "")))</f>
        <v>1</v>
      </c>
      <c r="P15" cm="1">
        <f t="array" ref="P15">COUNTA(_xlfn.UNIQUE(_xlfn._xlws.FILTER(Hierarchy!I$2:I$1000, ISNUMBER(MATCH(Hierarchy!$A$2:$A$1000, _xlfn.TEXTSPLIT($C15,", "),0)), "")))</f>
        <v>1</v>
      </c>
      <c r="Q15" cm="1">
        <f t="array" ref="Q15">COUNTA(_xlfn.UNIQUE(_xlfn._xlws.FILTER(Hierarchy!J$2:J$1000, ISNUMBER(MATCH(Hierarchy!$A$2:$A$1000, _xlfn.TEXTSPLIT($C15,", "),0)), "")))</f>
        <v>1</v>
      </c>
      <c r="R15" cm="1">
        <f t="array" ref="R15">COUNTA(_xlfn.UNIQUE(_xlfn._xlws.FILTER(Hierarchy!K$2:K$1000, ISNUMBER(MATCH(Hierarchy!$A$2:$A$1000, _xlfn.TEXTSPLIT($C15,", "),0)), "")))</f>
        <v>1</v>
      </c>
      <c r="S15" cm="1">
        <f t="array" ref="S15">COUNTA(_xlfn.UNIQUE(_xlfn._xlws.FILTER(Hierarchy!L$2:L$1000, ISNUMBER(MATCH(Hierarchy!$A$2:$A$1000, _xlfn.TEXTSPLIT($C15,", "),0)), "")))</f>
        <v>1</v>
      </c>
    </row>
    <row r="16" spans="1:20" x14ac:dyDescent="0.2">
      <c r="A16" t="str">
        <f t="shared" si="0"/>
        <v>TN_and_s_KY</v>
      </c>
      <c r="B16" t="s">
        <v>355</v>
      </c>
      <c r="C16" t="s">
        <v>350</v>
      </c>
      <c r="D16" cm="1">
        <f t="array" ref="D16">SUMPRODUCT(--(TRIM(IFERROR(_xlfn.TEXTSPLIT(_xlfn.TEXTJOIN(",",TRUE,C16),","),""))&lt;&gt;""))</f>
        <v>2</v>
      </c>
      <c r="E16" s="5" t="str" cm="1">
        <f t="array" ref="E16">_xlfn.TEXTJOIN(", ", TRUE, _xlfn.UNIQUE(_xlfn._xlws.FILTER(Hierarchy!F$2:F$1000, ISNUMBER(MATCH(Hierarchy!$A$2:$A$1000, _xlfn.TEXTSPLIT($C16,", "),0)), "")))</f>
        <v>TN, KY</v>
      </c>
      <c r="F16" t="str" cm="1">
        <f t="array" ref="F16">_xlfn.TEXTJOIN(", ", TRUE, _xlfn.UNIQUE(_xlfn._xlws.FILTER(Hierarchy!H$2:H$1000, ISNUMBER(MATCH(Hierarchy!$A$2:$A$1000, _xlfn.TEXTSPLIT($C16,", "),0)), "")))</f>
        <v>TN, KY</v>
      </c>
      <c r="G16" t="str" cm="1">
        <f t="array" ref="G16">_xlfn.TEXTJOIN(", ", TRUE, _xlfn.UNIQUE(_xlfn._xlws.FILTER(Hierarchy!C$2:C$1000, ISNUMBER(MATCH(Hierarchy!$A$2:$A$1000, _xlfn.TEXTSPLIT($C16,", "),0)), "")))</f>
        <v>SERTP</v>
      </c>
      <c r="H16" s="1" cm="1">
        <f t="array" ref="H16">SUMPRODUCT((ISNUMBER(MATCH(Hierarchy!A$2:A$1000, _xlfn.TEXTSPLIT(C16,", "),0)))*Hierarchy!O$2:O$1000)</f>
        <v>7932168</v>
      </c>
      <c r="I16" cm="1">
        <f t="array" ref="I16">COUNTA(_xlfn.UNIQUE(_xlfn._xlws.FILTER(Hierarchy!B$2:B$1000, ISNUMBER(MATCH(Hierarchy!$A$2:$A$1000, _xlfn.TEXTSPLIT($C16,", "),0)), "")))</f>
        <v>1</v>
      </c>
      <c r="J16" cm="1">
        <f t="array" ref="J16">COUNTA(_xlfn.UNIQUE(_xlfn._xlws.FILTER(Hierarchy!C$2:C$1000, ISNUMBER(MATCH(Hierarchy!$A$2:$A$1000, _xlfn.TEXTSPLIT($C16,", "),0)), "")))</f>
        <v>1</v>
      </c>
      <c r="K16" cm="1">
        <f t="array" ref="K16">COUNTA(_xlfn.UNIQUE(_xlfn._xlws.FILTER(Hierarchy!D$2:D$1000, ISNUMBER(MATCH(Hierarchy!$A$2:$A$1000, _xlfn.TEXTSPLIT($C16,", "),0)), "")))</f>
        <v>1</v>
      </c>
      <c r="L16" cm="1">
        <f t="array" ref="L16">COUNTA(_xlfn.UNIQUE(_xlfn._xlws.FILTER(Hierarchy!E$2:E$1000, ISNUMBER(MATCH(Hierarchy!$A$2:$A$1000, _xlfn.TEXTSPLIT($C16,", "),0)), "")))</f>
        <v>1</v>
      </c>
      <c r="M16" cm="1">
        <f t="array" ref="M16">COUNTA(_xlfn.UNIQUE(_xlfn._xlws.FILTER(Hierarchy!F$2:F$1000, ISNUMBER(MATCH(Hierarchy!$A$2:$A$1000, _xlfn.TEXTSPLIT($C16,", "),0)), "")))</f>
        <v>2</v>
      </c>
      <c r="N16" cm="1">
        <f t="array" ref="N16">COUNTA(_xlfn.UNIQUE(_xlfn._xlws.FILTER(Hierarchy!G$2:G$1000, ISNUMBER(MATCH(Hierarchy!$A$2:$A$1000, _xlfn.TEXTSPLIT($C16,", "),0)), "")))</f>
        <v>1</v>
      </c>
      <c r="O16" cm="1">
        <f t="array" ref="O16">COUNTA(_xlfn.UNIQUE(_xlfn._xlws.FILTER(Hierarchy!H$2:H$1000, ISNUMBER(MATCH(Hierarchy!$A$2:$A$1000, _xlfn.TEXTSPLIT($C16,", "),0)), "")))</f>
        <v>2</v>
      </c>
      <c r="P16" cm="1">
        <f t="array" ref="P16">COUNTA(_xlfn.UNIQUE(_xlfn._xlws.FILTER(Hierarchy!I$2:I$1000, ISNUMBER(MATCH(Hierarchy!$A$2:$A$1000, _xlfn.TEXTSPLIT($C16,", "),0)), "")))</f>
        <v>1</v>
      </c>
      <c r="Q16" cm="1">
        <f t="array" ref="Q16">COUNTA(_xlfn.UNIQUE(_xlfn._xlws.FILTER(Hierarchy!J$2:J$1000, ISNUMBER(MATCH(Hierarchy!$A$2:$A$1000, _xlfn.TEXTSPLIT($C16,", "),0)), "")))</f>
        <v>1</v>
      </c>
      <c r="R16" cm="1">
        <f t="array" ref="R16">COUNTA(_xlfn.UNIQUE(_xlfn._xlws.FILTER(Hierarchy!K$2:K$1000, ISNUMBER(MATCH(Hierarchy!$A$2:$A$1000, _xlfn.TEXTSPLIT($C16,", "),0)), "")))</f>
        <v>2</v>
      </c>
      <c r="S16" cm="1">
        <f t="array" ref="S16">COUNTA(_xlfn.UNIQUE(_xlfn._xlws.FILTER(Hierarchy!L$2:L$1000, ISNUMBER(MATCH(Hierarchy!$A$2:$A$1000, _xlfn.TEXTSPLIT($C16,", "),0)), "")))</f>
        <v>1</v>
      </c>
    </row>
    <row r="17" spans="1:19" x14ac:dyDescent="0.2">
      <c r="A17" t="str">
        <f t="shared" si="0"/>
        <v>se_FL</v>
      </c>
      <c r="B17" t="s">
        <v>354</v>
      </c>
      <c r="C17" t="s">
        <v>239</v>
      </c>
      <c r="D17" cm="1">
        <f t="array" ref="D17">SUMPRODUCT(--(TRIM(IFERROR(_xlfn.TEXTSPLIT(_xlfn.TEXTJOIN(",",TRUE,C17),","),""))&lt;&gt;""))</f>
        <v>1</v>
      </c>
      <c r="E17" s="5" t="str" cm="1">
        <f t="array" ref="E17">_xlfn.TEXTJOIN(", ", TRUE, _xlfn.UNIQUE(_xlfn._xlws.FILTER(Hierarchy!F$2:F$1000, ISNUMBER(MATCH(Hierarchy!$A$2:$A$1000, _xlfn.TEXTSPLIT($C17,", "),0)), "")))</f>
        <v>FL</v>
      </c>
      <c r="F17" t="str" cm="1">
        <f t="array" ref="F17">_xlfn.TEXTJOIN(", ", TRUE, _xlfn.UNIQUE(_xlfn._xlws.FILTER(Hierarchy!H$2:H$1000, ISNUMBER(MATCH(Hierarchy!$A$2:$A$1000, _xlfn.TEXTSPLIT($C17,", "),0)), "")))</f>
        <v>FL</v>
      </c>
      <c r="G17" t="str" cm="1">
        <f t="array" ref="G17">_xlfn.TEXTJOIN(", ", TRUE, _xlfn.UNIQUE(_xlfn._xlws.FILTER(Hierarchy!C$2:C$1000, ISNUMBER(MATCH(Hierarchy!$A$2:$A$1000, _xlfn.TEXTSPLIT($C17,", "),0)), "")))</f>
        <v>FRCC</v>
      </c>
      <c r="H17" s="1" cm="1">
        <f t="array" ref="H17">SUMPRODUCT((ISNUMBER(MATCH(Hierarchy!A$2:A$1000, _xlfn.TEXTSPLIT(C17,", "),0)))*Hierarchy!O$2:O$1000)</f>
        <v>7844910</v>
      </c>
      <c r="I17" cm="1">
        <f t="array" ref="I17">COUNTA(_xlfn.UNIQUE(_xlfn._xlws.FILTER(Hierarchy!B$2:B$1000, ISNUMBER(MATCH(Hierarchy!$A$2:$A$1000, _xlfn.TEXTSPLIT($C17,", "),0)), "")))</f>
        <v>1</v>
      </c>
      <c r="J17" cm="1">
        <f t="array" ref="J17">COUNTA(_xlfn.UNIQUE(_xlfn._xlws.FILTER(Hierarchy!C$2:C$1000, ISNUMBER(MATCH(Hierarchy!$A$2:$A$1000, _xlfn.TEXTSPLIT($C17,", "),0)), "")))</f>
        <v>1</v>
      </c>
      <c r="K17" cm="1">
        <f t="array" ref="K17">COUNTA(_xlfn.UNIQUE(_xlfn._xlws.FILTER(Hierarchy!D$2:D$1000, ISNUMBER(MATCH(Hierarchy!$A$2:$A$1000, _xlfn.TEXTSPLIT($C17,", "),0)), "")))</f>
        <v>1</v>
      </c>
      <c r="L17" cm="1">
        <f t="array" ref="L17">COUNTA(_xlfn.UNIQUE(_xlfn._xlws.FILTER(Hierarchy!E$2:E$1000, ISNUMBER(MATCH(Hierarchy!$A$2:$A$1000, _xlfn.TEXTSPLIT($C17,", "),0)), "")))</f>
        <v>1</v>
      </c>
      <c r="M17" cm="1">
        <f t="array" ref="M17">COUNTA(_xlfn.UNIQUE(_xlfn._xlws.FILTER(Hierarchy!F$2:F$1000, ISNUMBER(MATCH(Hierarchy!$A$2:$A$1000, _xlfn.TEXTSPLIT($C17,", "),0)), "")))</f>
        <v>1</v>
      </c>
      <c r="N17" cm="1">
        <f t="array" ref="N17">COUNTA(_xlfn.UNIQUE(_xlfn._xlws.FILTER(Hierarchy!G$2:G$1000, ISNUMBER(MATCH(Hierarchy!$A$2:$A$1000, _xlfn.TEXTSPLIT($C17,", "),0)), "")))</f>
        <v>1</v>
      </c>
      <c r="O17" cm="1">
        <f t="array" ref="O17">COUNTA(_xlfn.UNIQUE(_xlfn._xlws.FILTER(Hierarchy!H$2:H$1000, ISNUMBER(MATCH(Hierarchy!$A$2:$A$1000, _xlfn.TEXTSPLIT($C17,", "),0)), "")))</f>
        <v>1</v>
      </c>
      <c r="P17" cm="1">
        <f t="array" ref="P17">COUNTA(_xlfn.UNIQUE(_xlfn._xlws.FILTER(Hierarchy!I$2:I$1000, ISNUMBER(MATCH(Hierarchy!$A$2:$A$1000, _xlfn.TEXTSPLIT($C17,", "),0)), "")))</f>
        <v>1</v>
      </c>
      <c r="Q17" cm="1">
        <f t="array" ref="Q17">COUNTA(_xlfn.UNIQUE(_xlfn._xlws.FILTER(Hierarchy!J$2:J$1000, ISNUMBER(MATCH(Hierarchy!$A$2:$A$1000, _xlfn.TEXTSPLIT($C17,", "),0)), "")))</f>
        <v>1</v>
      </c>
      <c r="R17" cm="1">
        <f t="array" ref="R17">COUNTA(_xlfn.UNIQUE(_xlfn._xlws.FILTER(Hierarchy!K$2:K$1000, ISNUMBER(MATCH(Hierarchy!$A$2:$A$1000, _xlfn.TEXTSPLIT($C17,", "),0)), "")))</f>
        <v>1</v>
      </c>
      <c r="S17" cm="1">
        <f t="array" ref="S17">COUNTA(_xlfn.UNIQUE(_xlfn._xlws.FILTER(Hierarchy!L$2:L$1000, ISNUMBER(MATCH(Hierarchy!$A$2:$A$1000, _xlfn.TEXTSPLIT($C17,", "),0)), "")))</f>
        <v>1</v>
      </c>
    </row>
    <row r="18" spans="1:19" x14ac:dyDescent="0.2">
      <c r="A18" t="str">
        <f t="shared" si="0"/>
        <v>AZ</v>
      </c>
      <c r="B18" t="s">
        <v>79</v>
      </c>
      <c r="C18" t="s">
        <v>341</v>
      </c>
      <c r="D18" cm="1">
        <f t="array" ref="D18">SUMPRODUCT(--(TRIM(IFERROR(_xlfn.TEXTSPLIT(_xlfn.TEXTJOIN(",",TRUE,C18),","),""))&lt;&gt;""))</f>
        <v>4</v>
      </c>
      <c r="E18" s="5" t="str" cm="1">
        <f t="array" ref="E18">_xlfn.TEXTJOIN(", ", TRUE, _xlfn.UNIQUE(_xlfn._xlws.FILTER(Hierarchy!F$2:F$1000, ISNUMBER(MATCH(Hierarchy!$A$2:$A$1000, _xlfn.TEXTSPLIT($C18,", "),0)), "")))</f>
        <v>AZ</v>
      </c>
      <c r="F18" t="str" cm="1">
        <f t="array" ref="F18">_xlfn.TEXTJOIN(", ", TRUE, _xlfn.UNIQUE(_xlfn._xlws.FILTER(Hierarchy!H$2:H$1000, ISNUMBER(MATCH(Hierarchy!$A$2:$A$1000, _xlfn.TEXTSPLIT($C18,", "),0)), "")))</f>
        <v>AZ</v>
      </c>
      <c r="G18" t="str" cm="1">
        <f t="array" ref="G18">_xlfn.TEXTJOIN(", ", TRUE, _xlfn.UNIQUE(_xlfn._xlws.FILTER(Hierarchy!C$2:C$1000, ISNUMBER(MATCH(Hierarchy!$A$2:$A$1000, _xlfn.TEXTSPLIT($C18,", "),0)), "")))</f>
        <v>WestConnect</v>
      </c>
      <c r="H18" s="1" cm="1">
        <f t="array" ref="H18">SUMPRODUCT((ISNUMBER(MATCH(Hierarchy!A$2:A$1000, _xlfn.TEXTSPLIT(C18,", "),0)))*Hierarchy!O$2:O$1000)</f>
        <v>7582384</v>
      </c>
      <c r="I18" cm="1">
        <f t="array" ref="I18">COUNTA(_xlfn.UNIQUE(_xlfn._xlws.FILTER(Hierarchy!B$2:B$1000, ISNUMBER(MATCH(Hierarchy!$A$2:$A$1000, _xlfn.TEXTSPLIT($C18,", "),0)), "")))</f>
        <v>1</v>
      </c>
      <c r="J18" cm="1">
        <f t="array" ref="J18">COUNTA(_xlfn.UNIQUE(_xlfn._xlws.FILTER(Hierarchy!C$2:C$1000, ISNUMBER(MATCH(Hierarchy!$A$2:$A$1000, _xlfn.TEXTSPLIT($C18,", "),0)), "")))</f>
        <v>1</v>
      </c>
      <c r="K18" cm="1">
        <f t="array" ref="K18">COUNTA(_xlfn.UNIQUE(_xlfn._xlws.FILTER(Hierarchy!D$2:D$1000, ISNUMBER(MATCH(Hierarchy!$A$2:$A$1000, _xlfn.TEXTSPLIT($C18,", "),0)), "")))</f>
        <v>1</v>
      </c>
      <c r="L18" cm="1">
        <f t="array" ref="L18">COUNTA(_xlfn.UNIQUE(_xlfn._xlws.FILTER(Hierarchy!E$2:E$1000, ISNUMBER(MATCH(Hierarchy!$A$2:$A$1000, _xlfn.TEXTSPLIT($C18,", "),0)), "")))</f>
        <v>1</v>
      </c>
      <c r="M18" cm="1">
        <f t="array" ref="M18">COUNTA(_xlfn.UNIQUE(_xlfn._xlws.FILTER(Hierarchy!F$2:F$1000, ISNUMBER(MATCH(Hierarchy!$A$2:$A$1000, _xlfn.TEXTSPLIT($C18,", "),0)), "")))</f>
        <v>1</v>
      </c>
      <c r="N18" cm="1">
        <f t="array" ref="N18">COUNTA(_xlfn.UNIQUE(_xlfn._xlws.FILTER(Hierarchy!G$2:G$1000, ISNUMBER(MATCH(Hierarchy!$A$2:$A$1000, _xlfn.TEXTSPLIT($C18,", "),0)), "")))</f>
        <v>1</v>
      </c>
      <c r="O18" cm="1">
        <f t="array" ref="O18">COUNTA(_xlfn.UNIQUE(_xlfn._xlws.FILTER(Hierarchy!H$2:H$1000, ISNUMBER(MATCH(Hierarchy!$A$2:$A$1000, _xlfn.TEXTSPLIT($C18,", "),0)), "")))</f>
        <v>1</v>
      </c>
      <c r="P18" cm="1">
        <f t="array" ref="P18">COUNTA(_xlfn.UNIQUE(_xlfn._xlws.FILTER(Hierarchy!I$2:I$1000, ISNUMBER(MATCH(Hierarchy!$A$2:$A$1000, _xlfn.TEXTSPLIT($C18,", "),0)), "")))</f>
        <v>1</v>
      </c>
      <c r="Q18" cm="1">
        <f t="array" ref="Q18">COUNTA(_xlfn.UNIQUE(_xlfn._xlws.FILTER(Hierarchy!J$2:J$1000, ISNUMBER(MATCH(Hierarchy!$A$2:$A$1000, _xlfn.TEXTSPLIT($C18,", "),0)), "")))</f>
        <v>1</v>
      </c>
      <c r="R18" cm="1">
        <f t="array" ref="R18">COUNTA(_xlfn.UNIQUE(_xlfn._xlws.FILTER(Hierarchy!K$2:K$1000, ISNUMBER(MATCH(Hierarchy!$A$2:$A$1000, _xlfn.TEXTSPLIT($C18,", "),0)), "")))</f>
        <v>1</v>
      </c>
      <c r="S18" cm="1">
        <f t="array" ref="S18">COUNTA(_xlfn.UNIQUE(_xlfn._xlws.FILTER(Hierarchy!L$2:L$1000, ISNUMBER(MATCH(Hierarchy!$A$2:$A$1000, _xlfn.TEXTSPLIT($C18,", "),0)), "")))</f>
        <v>2</v>
      </c>
    </row>
    <row r="19" spans="1:19" x14ac:dyDescent="0.2">
      <c r="A19" t="str">
        <f t="shared" si="0"/>
        <v>IN_and_W_KY</v>
      </c>
      <c r="B19" t="s">
        <v>351</v>
      </c>
      <c r="C19" t="s">
        <v>332</v>
      </c>
      <c r="D19" cm="1">
        <f t="array" ref="D19">SUMPRODUCT(--(TRIM(IFERROR(_xlfn.TEXTSPLIT(_xlfn.TEXTJOIN(",",TRUE,C19),","),""))&lt;&gt;""))</f>
        <v>4</v>
      </c>
      <c r="E19" s="5" t="str" cm="1">
        <f t="array" ref="E19">_xlfn.TEXTJOIN(", ", TRUE, _xlfn.UNIQUE(_xlfn._xlws.FILTER(Hierarchy!F$2:F$1000, ISNUMBER(MATCH(Hierarchy!$A$2:$A$1000, _xlfn.TEXTSPLIT($C19,", "),0)), "")))</f>
        <v>IN, KY</v>
      </c>
      <c r="F19" t="str" cm="1">
        <f t="array" ref="F19">_xlfn.TEXTJOIN(", ", TRUE, _xlfn.UNIQUE(_xlfn._xlws.FILTER(Hierarchy!H$2:H$1000, ISNUMBER(MATCH(Hierarchy!$A$2:$A$1000, _xlfn.TEXTSPLIT($C19,", "),0)), "")))</f>
        <v>IN, KY</v>
      </c>
      <c r="G19" t="str" cm="1">
        <f t="array" ref="G19">_xlfn.TEXTJOIN(", ", TRUE, _xlfn.UNIQUE(_xlfn._xlws.FILTER(Hierarchy!C$2:C$1000, ISNUMBER(MATCH(Hierarchy!$A$2:$A$1000, _xlfn.TEXTSPLIT($C19,", "),0)), "")))</f>
        <v>MISO</v>
      </c>
      <c r="H19" s="1" cm="1">
        <f t="array" ref="H19">SUMPRODUCT((ISNUMBER(MATCH(Hierarchy!A$2:A$1000, _xlfn.TEXTSPLIT(C19,", "),0)))*Hierarchy!O$2:O$1000)</f>
        <v>7286625</v>
      </c>
      <c r="I19" cm="1">
        <f t="array" ref="I19">COUNTA(_xlfn.UNIQUE(_xlfn._xlws.FILTER(Hierarchy!B$2:B$1000, ISNUMBER(MATCH(Hierarchy!$A$2:$A$1000, _xlfn.TEXTSPLIT($C19,", "),0)), "")))</f>
        <v>1</v>
      </c>
      <c r="J19" cm="1">
        <f t="array" ref="J19">COUNTA(_xlfn.UNIQUE(_xlfn._xlws.FILTER(Hierarchy!C$2:C$1000, ISNUMBER(MATCH(Hierarchy!$A$2:$A$1000, _xlfn.TEXTSPLIT($C19,", "),0)), "")))</f>
        <v>1</v>
      </c>
      <c r="K19" cm="1">
        <f t="array" ref="K19">COUNTA(_xlfn.UNIQUE(_xlfn._xlws.FILTER(Hierarchy!D$2:D$1000, ISNUMBER(MATCH(Hierarchy!$A$2:$A$1000, _xlfn.TEXTSPLIT($C19,", "),0)), "")))</f>
        <v>1</v>
      </c>
      <c r="L19" cm="1">
        <f t="array" ref="L19">COUNTA(_xlfn.UNIQUE(_xlfn._xlws.FILTER(Hierarchy!E$2:E$1000, ISNUMBER(MATCH(Hierarchy!$A$2:$A$1000, _xlfn.TEXTSPLIT($C19,", "),0)), "")))</f>
        <v>2</v>
      </c>
      <c r="M19" cm="1">
        <f t="array" ref="M19">COUNTA(_xlfn.UNIQUE(_xlfn._xlws.FILTER(Hierarchy!F$2:F$1000, ISNUMBER(MATCH(Hierarchy!$A$2:$A$1000, _xlfn.TEXTSPLIT($C19,", "),0)), "")))</f>
        <v>2</v>
      </c>
      <c r="N19" cm="1">
        <f t="array" ref="N19">COUNTA(_xlfn.UNIQUE(_xlfn._xlws.FILTER(Hierarchy!G$2:G$1000, ISNUMBER(MATCH(Hierarchy!$A$2:$A$1000, _xlfn.TEXTSPLIT($C19,", "),0)), "")))</f>
        <v>1</v>
      </c>
      <c r="O19" cm="1">
        <f t="array" ref="O19">COUNTA(_xlfn.UNIQUE(_xlfn._xlws.FILTER(Hierarchy!H$2:H$1000, ISNUMBER(MATCH(Hierarchy!$A$2:$A$1000, _xlfn.TEXTSPLIT($C19,", "),0)), "")))</f>
        <v>2</v>
      </c>
      <c r="P19" cm="1">
        <f t="array" ref="P19">COUNTA(_xlfn.UNIQUE(_xlfn._xlws.FILTER(Hierarchy!I$2:I$1000, ISNUMBER(MATCH(Hierarchy!$A$2:$A$1000, _xlfn.TEXTSPLIT($C19,", "),0)), "")))</f>
        <v>1</v>
      </c>
      <c r="Q19" cm="1">
        <f t="array" ref="Q19">COUNTA(_xlfn.UNIQUE(_xlfn._xlws.FILTER(Hierarchy!J$2:J$1000, ISNUMBER(MATCH(Hierarchy!$A$2:$A$1000, _xlfn.TEXTSPLIT($C19,", "),0)), "")))</f>
        <v>2</v>
      </c>
      <c r="R19" cm="1">
        <f t="array" ref="R19">COUNTA(_xlfn.UNIQUE(_xlfn._xlws.FILTER(Hierarchy!K$2:K$1000, ISNUMBER(MATCH(Hierarchy!$A$2:$A$1000, _xlfn.TEXTSPLIT($C19,", "),0)), "")))</f>
        <v>2</v>
      </c>
      <c r="S19" cm="1">
        <f t="array" ref="S19">COUNTA(_xlfn.UNIQUE(_xlfn._xlws.FILTER(Hierarchy!L$2:L$1000, ISNUMBER(MATCH(Hierarchy!$A$2:$A$1000, _xlfn.TEXTSPLIT($C19,", "),0)), "")))</f>
        <v>1</v>
      </c>
    </row>
    <row r="20" spans="1:19" x14ac:dyDescent="0.2">
      <c r="A20" t="str">
        <f t="shared" si="0"/>
        <v>MA</v>
      </c>
      <c r="B20" t="s">
        <v>290</v>
      </c>
      <c r="C20" t="s">
        <v>289</v>
      </c>
      <c r="D20" cm="1">
        <f t="array" ref="D20">SUMPRODUCT(--(TRIM(IFERROR(_xlfn.TEXTSPLIT(_xlfn.TEXTJOIN(",",TRUE,C20),","),""))&lt;&gt;""))</f>
        <v>1</v>
      </c>
      <c r="E20" s="5" t="str" cm="1">
        <f t="array" ref="E20">_xlfn.TEXTJOIN(", ", TRUE, _xlfn.UNIQUE(_xlfn._xlws.FILTER(Hierarchy!F$2:F$1000, ISNUMBER(MATCH(Hierarchy!$A$2:$A$1000, _xlfn.TEXTSPLIT($C20,", "),0)), "")))</f>
        <v>MA</v>
      </c>
      <c r="F20" t="str" cm="1">
        <f t="array" ref="F20">_xlfn.TEXTJOIN(", ", TRUE, _xlfn.UNIQUE(_xlfn._xlws.FILTER(Hierarchy!H$2:H$1000, ISNUMBER(MATCH(Hierarchy!$A$2:$A$1000, _xlfn.TEXTSPLIT($C20,", "),0)), "")))</f>
        <v>MA</v>
      </c>
      <c r="G20" t="str" cm="1">
        <f t="array" ref="G20">_xlfn.TEXTJOIN(", ", TRUE, _xlfn.UNIQUE(_xlfn._xlws.FILTER(Hierarchy!C$2:C$1000, ISNUMBER(MATCH(Hierarchy!$A$2:$A$1000, _xlfn.TEXTSPLIT($C20,", "),0)), "")))</f>
        <v>ISONE</v>
      </c>
      <c r="H20" s="1" cm="1">
        <f t="array" ref="H20">SUMPRODUCT((ISNUMBER(MATCH(Hierarchy!A$2:A$1000, _xlfn.TEXTSPLIT(C20,", "),0)))*Hierarchy!O$2:O$1000)</f>
        <v>7136171</v>
      </c>
      <c r="I20" cm="1">
        <f t="array" ref="I20">COUNTA(_xlfn.UNIQUE(_xlfn._xlws.FILTER(Hierarchy!B$2:B$1000, ISNUMBER(MATCH(Hierarchy!$A$2:$A$1000, _xlfn.TEXTSPLIT($C20,", "),0)), "")))</f>
        <v>1</v>
      </c>
      <c r="J20" cm="1">
        <f t="array" ref="J20">COUNTA(_xlfn.UNIQUE(_xlfn._xlws.FILTER(Hierarchy!C$2:C$1000, ISNUMBER(MATCH(Hierarchy!$A$2:$A$1000, _xlfn.TEXTSPLIT($C20,", "),0)), "")))</f>
        <v>1</v>
      </c>
      <c r="K20" cm="1">
        <f t="array" ref="K20">COUNTA(_xlfn.UNIQUE(_xlfn._xlws.FILTER(Hierarchy!D$2:D$1000, ISNUMBER(MATCH(Hierarchy!$A$2:$A$1000, _xlfn.TEXTSPLIT($C20,", "),0)), "")))</f>
        <v>1</v>
      </c>
      <c r="L20" cm="1">
        <f t="array" ref="L20">COUNTA(_xlfn.UNIQUE(_xlfn._xlws.FILTER(Hierarchy!E$2:E$1000, ISNUMBER(MATCH(Hierarchy!$A$2:$A$1000, _xlfn.TEXTSPLIT($C20,", "),0)), "")))</f>
        <v>1</v>
      </c>
      <c r="M20" cm="1">
        <f t="array" ref="M20">COUNTA(_xlfn.UNIQUE(_xlfn._xlws.FILTER(Hierarchy!F$2:F$1000, ISNUMBER(MATCH(Hierarchy!$A$2:$A$1000, _xlfn.TEXTSPLIT($C20,", "),0)), "")))</f>
        <v>1</v>
      </c>
      <c r="N20" cm="1">
        <f t="array" ref="N20">COUNTA(_xlfn.UNIQUE(_xlfn._xlws.FILTER(Hierarchy!G$2:G$1000, ISNUMBER(MATCH(Hierarchy!$A$2:$A$1000, _xlfn.TEXTSPLIT($C20,", "),0)), "")))</f>
        <v>1</v>
      </c>
      <c r="O20" cm="1">
        <f t="array" ref="O20">COUNTA(_xlfn.UNIQUE(_xlfn._xlws.FILTER(Hierarchy!H$2:H$1000, ISNUMBER(MATCH(Hierarchy!$A$2:$A$1000, _xlfn.TEXTSPLIT($C20,", "),0)), "")))</f>
        <v>1</v>
      </c>
      <c r="P20" cm="1">
        <f t="array" ref="P20">COUNTA(_xlfn.UNIQUE(_xlfn._xlws.FILTER(Hierarchy!I$2:I$1000, ISNUMBER(MATCH(Hierarchy!$A$2:$A$1000, _xlfn.TEXTSPLIT($C20,", "),0)), "")))</f>
        <v>1</v>
      </c>
      <c r="Q20" cm="1">
        <f t="array" ref="Q20">COUNTA(_xlfn.UNIQUE(_xlfn._xlws.FILTER(Hierarchy!J$2:J$1000, ISNUMBER(MATCH(Hierarchy!$A$2:$A$1000, _xlfn.TEXTSPLIT($C20,", "),0)), "")))</f>
        <v>1</v>
      </c>
      <c r="R20" cm="1">
        <f t="array" ref="R20">COUNTA(_xlfn.UNIQUE(_xlfn._xlws.FILTER(Hierarchy!K$2:K$1000, ISNUMBER(MATCH(Hierarchy!$A$2:$A$1000, _xlfn.TEXTSPLIT($C20,", "),0)), "")))</f>
        <v>1</v>
      </c>
      <c r="S20" cm="1">
        <f t="array" ref="S20">COUNTA(_xlfn.UNIQUE(_xlfn._xlws.FILTER(Hierarchy!L$2:L$1000, ISNUMBER(MATCH(Hierarchy!$A$2:$A$1000, _xlfn.TEXTSPLIT($C20,", "),0)), "")))</f>
        <v>1</v>
      </c>
    </row>
    <row r="21" spans="1:19" x14ac:dyDescent="0.2">
      <c r="A21" t="str">
        <f t="shared" si="0"/>
        <v>MD_and_VA_Island</v>
      </c>
      <c r="B21" t="s">
        <v>352</v>
      </c>
      <c r="C21" t="s">
        <v>327</v>
      </c>
      <c r="D21" cm="1">
        <f t="array" ref="D21">SUMPRODUCT(--(TRIM(IFERROR(_xlfn.TEXTSPLIT(_xlfn.TEXTJOIN(",",TRUE,C21),","),""))&lt;&gt;""))</f>
        <v>3</v>
      </c>
      <c r="E21" s="5" t="str" cm="1">
        <f t="array" ref="E21">_xlfn.TEXTJOIN(", ", TRUE, _xlfn.UNIQUE(_xlfn._xlws.FILTER(Hierarchy!F$2:F$1000, ISNUMBER(MATCH(Hierarchy!$A$2:$A$1000, _xlfn.TEXTSPLIT($C21,", "),0)), "")))</f>
        <v>MD, VA</v>
      </c>
      <c r="F21" t="str" cm="1">
        <f t="array" ref="F21">_xlfn.TEXTJOIN(", ", TRUE, _xlfn.UNIQUE(_xlfn._xlws.FILTER(Hierarchy!H$2:H$1000, ISNUMBER(MATCH(Hierarchy!$A$2:$A$1000, _xlfn.TEXTSPLIT($C21,", "),0)), "")))</f>
        <v>MD, VA</v>
      </c>
      <c r="G21" t="str" cm="1">
        <f t="array" ref="G21">_xlfn.TEXTJOIN(", ", TRUE, _xlfn.UNIQUE(_xlfn._xlws.FILTER(Hierarchy!C$2:C$1000, ISNUMBER(MATCH(Hierarchy!$A$2:$A$1000, _xlfn.TEXTSPLIT($C21,", "),0)), "")))</f>
        <v>PJM</v>
      </c>
      <c r="H21" s="1" cm="1">
        <f t="array" ref="H21">SUMPRODUCT((ISNUMBER(MATCH(Hierarchy!A$2:A$1000, _xlfn.TEXTSPLIT(C21,", "),0)))*Hierarchy!O$2:O$1000)</f>
        <v>7010885</v>
      </c>
      <c r="I21" cm="1">
        <f t="array" ref="I21">COUNTA(_xlfn.UNIQUE(_xlfn._xlws.FILTER(Hierarchy!B$2:B$1000, ISNUMBER(MATCH(Hierarchy!$A$2:$A$1000, _xlfn.TEXTSPLIT($C21,", "),0)), "")))</f>
        <v>1</v>
      </c>
      <c r="J21" cm="1">
        <f t="array" ref="J21">COUNTA(_xlfn.UNIQUE(_xlfn._xlws.FILTER(Hierarchy!C$2:C$1000, ISNUMBER(MATCH(Hierarchy!$A$2:$A$1000, _xlfn.TEXTSPLIT($C21,", "),0)), "")))</f>
        <v>1</v>
      </c>
      <c r="K21" cm="1">
        <f t="array" ref="K21">COUNTA(_xlfn.UNIQUE(_xlfn._xlws.FILTER(Hierarchy!D$2:D$1000, ISNUMBER(MATCH(Hierarchy!$A$2:$A$1000, _xlfn.TEXTSPLIT($C21,", "),0)), "")))</f>
        <v>1</v>
      </c>
      <c r="L21" cm="1">
        <f t="array" ref="L21">COUNTA(_xlfn.UNIQUE(_xlfn._xlws.FILTER(Hierarchy!E$2:E$1000, ISNUMBER(MATCH(Hierarchy!$A$2:$A$1000, _xlfn.TEXTSPLIT($C21,", "),0)), "")))</f>
        <v>1</v>
      </c>
      <c r="M21" cm="1">
        <f t="array" ref="M21">COUNTA(_xlfn.UNIQUE(_xlfn._xlws.FILTER(Hierarchy!F$2:F$1000, ISNUMBER(MATCH(Hierarchy!$A$2:$A$1000, _xlfn.TEXTSPLIT($C21,", "),0)), "")))</f>
        <v>2</v>
      </c>
      <c r="N21" cm="1">
        <f t="array" ref="N21">COUNTA(_xlfn.UNIQUE(_xlfn._xlws.FILTER(Hierarchy!G$2:G$1000, ISNUMBER(MATCH(Hierarchy!$A$2:$A$1000, _xlfn.TEXTSPLIT($C21,", "),0)), "")))</f>
        <v>1</v>
      </c>
      <c r="O21" cm="1">
        <f t="array" ref="O21">COUNTA(_xlfn.UNIQUE(_xlfn._xlws.FILTER(Hierarchy!H$2:H$1000, ISNUMBER(MATCH(Hierarchy!$A$2:$A$1000, _xlfn.TEXTSPLIT($C21,", "),0)), "")))</f>
        <v>2</v>
      </c>
      <c r="P21" cm="1">
        <f t="array" ref="P21">COUNTA(_xlfn.UNIQUE(_xlfn._xlws.FILTER(Hierarchy!I$2:I$1000, ISNUMBER(MATCH(Hierarchy!$A$2:$A$1000, _xlfn.TEXTSPLIT($C21,", "),0)), "")))</f>
        <v>1</v>
      </c>
      <c r="Q21" cm="1">
        <f t="array" ref="Q21">COUNTA(_xlfn.UNIQUE(_xlfn._xlws.FILTER(Hierarchy!J$2:J$1000, ISNUMBER(MATCH(Hierarchy!$A$2:$A$1000, _xlfn.TEXTSPLIT($C21,", "),0)), "")))</f>
        <v>2</v>
      </c>
      <c r="R21" cm="1">
        <f t="array" ref="R21">COUNTA(_xlfn.UNIQUE(_xlfn._xlws.FILTER(Hierarchy!K$2:K$1000, ISNUMBER(MATCH(Hierarchy!$A$2:$A$1000, _xlfn.TEXTSPLIT($C21,", "),0)), "")))</f>
        <v>1</v>
      </c>
      <c r="S21" cm="1">
        <f t="array" ref="S21">COUNTA(_xlfn.UNIQUE(_xlfn._xlws.FILTER(Hierarchy!L$2:L$1000, ISNUMBER(MATCH(Hierarchy!$A$2:$A$1000, _xlfn.TEXTSPLIT($C21,", "),0)), "")))</f>
        <v>1</v>
      </c>
    </row>
    <row r="22" spans="1:19" x14ac:dyDescent="0.2">
      <c r="A22" t="str">
        <f t="shared" si="0"/>
        <v>NV_and_UT_and_n_CA</v>
      </c>
      <c r="B22" t="s">
        <v>353</v>
      </c>
      <c r="C22" t="s">
        <v>304</v>
      </c>
      <c r="D22" cm="1">
        <f t="array" ref="D22">SUMPRODUCT(--(TRIM(IFERROR(_xlfn.TEXTSPLIT(_xlfn.TEXTJOIN(",",TRUE,C22),","),""))&lt;&gt;""))</f>
        <v>5</v>
      </c>
      <c r="E22" s="5" t="str" cm="1">
        <f t="array" ref="E22">_xlfn.TEXTJOIN(", ", TRUE, _xlfn.UNIQUE(_xlfn._xlws.FILTER(Hierarchy!F$2:F$1000, ISNUMBER(MATCH(Hierarchy!$A$2:$A$1000, _xlfn.TEXTSPLIT($C22,", "),0)), "")))</f>
        <v>CA, NV, UT</v>
      </c>
      <c r="F22" t="str" cm="1">
        <f t="array" ref="F22">_xlfn.TEXTJOIN(", ", TRUE, _xlfn.UNIQUE(_xlfn._xlws.FILTER(Hierarchy!H$2:H$1000, ISNUMBER(MATCH(Hierarchy!$A$2:$A$1000, _xlfn.TEXTSPLIT($C22,", "),0)), "")))</f>
        <v>CA, NV, UT</v>
      </c>
      <c r="G22" t="str" cm="1">
        <f t="array" ref="G22">_xlfn.TEXTJOIN(", ", TRUE, _xlfn.UNIQUE(_xlfn._xlws.FILTER(Hierarchy!C$2:C$1000, ISNUMBER(MATCH(Hierarchy!$A$2:$A$1000, _xlfn.TEXTSPLIT($C22,", "),0)), "")))</f>
        <v>NorthernGrid</v>
      </c>
      <c r="H22" s="1" cm="1">
        <f t="array" ref="H22">SUMPRODUCT((ISNUMBER(MATCH(Hierarchy!A$2:A$1000, _xlfn.TEXTSPLIT(C22,", "),0)))*Hierarchy!O$2:O$1000)</f>
        <v>6850409</v>
      </c>
      <c r="I22" cm="1">
        <f t="array" ref="I22">COUNTA(_xlfn.UNIQUE(_xlfn._xlws.FILTER(Hierarchy!B$2:B$1000, ISNUMBER(MATCH(Hierarchy!$A$2:$A$1000, _xlfn.TEXTSPLIT($C22,", "),0)), "")))</f>
        <v>1</v>
      </c>
      <c r="J22" cm="1">
        <f t="array" ref="J22">COUNTA(_xlfn.UNIQUE(_xlfn._xlws.FILTER(Hierarchy!C$2:C$1000, ISNUMBER(MATCH(Hierarchy!$A$2:$A$1000, _xlfn.TEXTSPLIT($C22,", "),0)), "")))</f>
        <v>1</v>
      </c>
      <c r="K22" cm="1">
        <f t="array" ref="K22">COUNTA(_xlfn.UNIQUE(_xlfn._xlws.FILTER(Hierarchy!D$2:D$1000, ISNUMBER(MATCH(Hierarchy!$A$2:$A$1000, _xlfn.TEXTSPLIT($C22,", "),0)), "")))</f>
        <v>1</v>
      </c>
      <c r="L22" cm="1">
        <f t="array" ref="L22">COUNTA(_xlfn.UNIQUE(_xlfn._xlws.FILTER(Hierarchy!E$2:E$1000, ISNUMBER(MATCH(Hierarchy!$A$2:$A$1000, _xlfn.TEXTSPLIT($C22,", "),0)), "")))</f>
        <v>2</v>
      </c>
      <c r="M22" cm="1">
        <f t="array" ref="M22">COUNTA(_xlfn.UNIQUE(_xlfn._xlws.FILTER(Hierarchy!F$2:F$1000, ISNUMBER(MATCH(Hierarchy!$A$2:$A$1000, _xlfn.TEXTSPLIT($C22,", "),0)), "")))</f>
        <v>3</v>
      </c>
      <c r="N22" cm="1">
        <f t="array" ref="N22">COUNTA(_xlfn.UNIQUE(_xlfn._xlws.FILTER(Hierarchy!G$2:G$1000, ISNUMBER(MATCH(Hierarchy!$A$2:$A$1000, _xlfn.TEXTSPLIT($C22,", "),0)), "")))</f>
        <v>1</v>
      </c>
      <c r="O22" cm="1">
        <f t="array" ref="O22">COUNTA(_xlfn.UNIQUE(_xlfn._xlws.FILTER(Hierarchy!H$2:H$1000, ISNUMBER(MATCH(Hierarchy!$A$2:$A$1000, _xlfn.TEXTSPLIT($C22,", "),0)), "")))</f>
        <v>3</v>
      </c>
      <c r="P22" cm="1">
        <f t="array" ref="P22">COUNTA(_xlfn.UNIQUE(_xlfn._xlws.FILTER(Hierarchy!I$2:I$1000, ISNUMBER(MATCH(Hierarchy!$A$2:$A$1000, _xlfn.TEXTSPLIT($C22,", "),0)), "")))</f>
        <v>1</v>
      </c>
      <c r="Q22" cm="1">
        <f t="array" ref="Q22">COUNTA(_xlfn.UNIQUE(_xlfn._xlws.FILTER(Hierarchy!J$2:J$1000, ISNUMBER(MATCH(Hierarchy!$A$2:$A$1000, _xlfn.TEXTSPLIT($C22,", "),0)), "")))</f>
        <v>2</v>
      </c>
      <c r="R22" cm="1">
        <f t="array" ref="R22">COUNTA(_xlfn.UNIQUE(_xlfn._xlws.FILTER(Hierarchy!K$2:K$1000, ISNUMBER(MATCH(Hierarchy!$A$2:$A$1000, _xlfn.TEXTSPLIT($C22,", "),0)), "")))</f>
        <v>2</v>
      </c>
      <c r="S22" cm="1">
        <f t="array" ref="S22">COUNTA(_xlfn.UNIQUE(_xlfn._xlws.FILTER(Hierarchy!L$2:L$1000, ISNUMBER(MATCH(Hierarchy!$A$2:$A$1000, _xlfn.TEXTSPLIT($C22,", "),0)), "")))</f>
        <v>3</v>
      </c>
    </row>
    <row r="23" spans="1:19" x14ac:dyDescent="0.2">
      <c r="A23" t="str">
        <f t="shared" si="0"/>
        <v>OK_and_e_NM_and_nw_TX</v>
      </c>
      <c r="B23" t="s">
        <v>358</v>
      </c>
      <c r="C23" t="s">
        <v>315</v>
      </c>
      <c r="D23" cm="1">
        <f t="array" ref="D23">SUMPRODUCT(--(TRIM(IFERROR(_xlfn.TEXTSPLIT(_xlfn.TEXTJOIN(",",TRUE,C23),","),""))&lt;&gt;""))</f>
        <v>7</v>
      </c>
      <c r="E23" s="5" t="str" cm="1">
        <f t="array" ref="E23">_xlfn.TEXTJOIN(", ", TRUE, _xlfn.UNIQUE(_xlfn._xlws.FILTER(Hierarchy!F$2:F$1000, ISNUMBER(MATCH(Hierarchy!$A$2:$A$1000, _xlfn.TEXTSPLIT($C23,", "),0)), "")))</f>
        <v>NM, TX, OK, AR</v>
      </c>
      <c r="F23" t="str" cm="1">
        <f t="array" ref="F23">_xlfn.TEXTJOIN(", ", TRUE, _xlfn.UNIQUE(_xlfn._xlws.FILTER(Hierarchy!H$2:H$1000, ISNUMBER(MATCH(Hierarchy!$A$2:$A$1000, _xlfn.TEXTSPLIT($C23,", "),0)), "")))</f>
        <v>NM_eastern, TX_eastern, OK, AR</v>
      </c>
      <c r="G23" t="str" cm="1">
        <f t="array" ref="G23">_xlfn.TEXTJOIN(", ", TRUE, _xlfn.UNIQUE(_xlfn._xlws.FILTER(Hierarchy!C$2:C$1000, ISNUMBER(MATCH(Hierarchy!$A$2:$A$1000, _xlfn.TEXTSPLIT($C23,", "),0)), "")))</f>
        <v>SPP</v>
      </c>
      <c r="H23" s="1" cm="1">
        <f t="array" ref="H23">SUMPRODUCT((ISNUMBER(MATCH(Hierarchy!A$2:A$1000, _xlfn.TEXTSPLIT(C23,", "),0)))*Hierarchy!O$2:O$1000)</f>
        <v>6775372</v>
      </c>
      <c r="I23" cm="1">
        <f t="array" ref="I23">COUNTA(_xlfn.UNIQUE(_xlfn._xlws.FILTER(Hierarchy!B$2:B$1000, ISNUMBER(MATCH(Hierarchy!$A$2:$A$1000, _xlfn.TEXTSPLIT($C23,", "),0)), "")))</f>
        <v>1</v>
      </c>
      <c r="J23" cm="1">
        <f t="array" ref="J23">COUNTA(_xlfn.UNIQUE(_xlfn._xlws.FILTER(Hierarchy!C$2:C$1000, ISNUMBER(MATCH(Hierarchy!$A$2:$A$1000, _xlfn.TEXTSPLIT($C23,", "),0)), "")))</f>
        <v>1</v>
      </c>
      <c r="K23" cm="1">
        <f t="array" ref="K23">COUNTA(_xlfn.UNIQUE(_xlfn._xlws.FILTER(Hierarchy!D$2:D$1000, ISNUMBER(MATCH(Hierarchy!$A$2:$A$1000, _xlfn.TEXTSPLIT($C23,", "),0)), "")))</f>
        <v>1</v>
      </c>
      <c r="L23" cm="1">
        <f t="array" ref="L23">COUNTA(_xlfn.UNIQUE(_xlfn._xlws.FILTER(Hierarchy!E$2:E$1000, ISNUMBER(MATCH(Hierarchy!$A$2:$A$1000, _xlfn.TEXTSPLIT($C23,", "),0)), "")))</f>
        <v>1</v>
      </c>
      <c r="M23" cm="1">
        <f t="array" ref="M23">COUNTA(_xlfn.UNIQUE(_xlfn._xlws.FILTER(Hierarchy!F$2:F$1000, ISNUMBER(MATCH(Hierarchy!$A$2:$A$1000, _xlfn.TEXTSPLIT($C23,", "),0)), "")))</f>
        <v>4</v>
      </c>
      <c r="N23" cm="1">
        <f t="array" ref="N23">COUNTA(_xlfn.UNIQUE(_xlfn._xlws.FILTER(Hierarchy!G$2:G$1000, ISNUMBER(MATCH(Hierarchy!$A$2:$A$1000, _xlfn.TEXTSPLIT($C23,", "),0)), "")))</f>
        <v>1</v>
      </c>
      <c r="O23" cm="1">
        <f t="array" ref="O23">COUNTA(_xlfn.UNIQUE(_xlfn._xlws.FILTER(Hierarchy!H$2:H$1000, ISNUMBER(MATCH(Hierarchy!$A$2:$A$1000, _xlfn.TEXTSPLIT($C23,", "),0)), "")))</f>
        <v>4</v>
      </c>
      <c r="P23" cm="1">
        <f t="array" ref="P23">COUNTA(_xlfn.UNIQUE(_xlfn._xlws.FILTER(Hierarchy!I$2:I$1000, ISNUMBER(MATCH(Hierarchy!$A$2:$A$1000, _xlfn.TEXTSPLIT($C23,", "),0)), "")))</f>
        <v>1</v>
      </c>
      <c r="Q23" cm="1">
        <f t="array" ref="Q23">COUNTA(_xlfn.UNIQUE(_xlfn._xlws.FILTER(Hierarchy!J$2:J$1000, ISNUMBER(MATCH(Hierarchy!$A$2:$A$1000, _xlfn.TEXTSPLIT($C23,", "),0)), "")))</f>
        <v>3</v>
      </c>
      <c r="R23" cm="1">
        <f t="array" ref="R23">COUNTA(_xlfn.UNIQUE(_xlfn._xlws.FILTER(Hierarchy!K$2:K$1000, ISNUMBER(MATCH(Hierarchy!$A$2:$A$1000, _xlfn.TEXTSPLIT($C23,", "),0)), "")))</f>
        <v>4</v>
      </c>
      <c r="S23" cm="1">
        <f t="array" ref="S23">COUNTA(_xlfn.UNIQUE(_xlfn._xlws.FILTER(Hierarchy!L$2:L$1000, ISNUMBER(MATCH(Hierarchy!$A$2:$A$1000, _xlfn.TEXTSPLIT($C23,", "),0)), "")))</f>
        <v>1</v>
      </c>
    </row>
    <row r="24" spans="1:19" x14ac:dyDescent="0.2">
      <c r="A24" t="str">
        <f t="shared" si="0"/>
        <v>Houston_ERCOT</v>
      </c>
      <c r="B24" t="s">
        <v>319</v>
      </c>
      <c r="C24" s="8" t="s">
        <v>169</v>
      </c>
      <c r="D24" cm="1">
        <f t="array" ref="D24">SUMPRODUCT(--(TRIM(IFERROR(_xlfn.TEXTSPLIT(_xlfn.TEXTJOIN(",",TRUE,C24),","),""))&lt;&gt;""))</f>
        <v>1</v>
      </c>
      <c r="E24" s="5" t="str" cm="1">
        <f t="array" ref="E24">_xlfn.TEXTJOIN(", ", TRUE, _xlfn.UNIQUE(_xlfn._xlws.FILTER(Hierarchy!F$2:F$1000, ISNUMBER(MATCH(Hierarchy!$A$2:$A$1000, _xlfn.TEXTSPLIT($C24,", "),0)), "")))</f>
        <v>TX</v>
      </c>
      <c r="F24" t="str" cm="1">
        <f t="array" ref="F24">_xlfn.TEXTJOIN(", ", TRUE, _xlfn.UNIQUE(_xlfn._xlws.FILTER(Hierarchy!H$2:H$1000, ISNUMBER(MATCH(Hierarchy!$A$2:$A$1000, _xlfn.TEXTSPLIT($C24,", "),0)), "")))</f>
        <v>TX_ercot</v>
      </c>
      <c r="G24" t="str" cm="1">
        <f t="array" ref="G24">_xlfn.TEXTJOIN(", ", TRUE, _xlfn.UNIQUE(_xlfn._xlws.FILTER(Hierarchy!C$2:C$1000, ISNUMBER(MATCH(Hierarchy!$A$2:$A$1000, _xlfn.TEXTSPLIT($C24,", "),0)), "")))</f>
        <v>ERCOT</v>
      </c>
      <c r="H24" s="1" cm="1">
        <f t="array" ref="H24">SUMPRODUCT((ISNUMBER(MATCH(Hierarchy!A$2:A$1000, _xlfn.TEXTSPLIT(C24,", "),0)))*Hierarchy!O$2:O$1000)</f>
        <v>6748367</v>
      </c>
      <c r="I24" cm="1">
        <f t="array" ref="I24">COUNTA(_xlfn.UNIQUE(_xlfn._xlws.FILTER(Hierarchy!B$2:B$1000, ISNUMBER(MATCH(Hierarchy!$A$2:$A$1000, _xlfn.TEXTSPLIT($C24,", "),0)), "")))</f>
        <v>1</v>
      </c>
      <c r="J24" cm="1">
        <f t="array" ref="J24">COUNTA(_xlfn.UNIQUE(_xlfn._xlws.FILTER(Hierarchy!C$2:C$1000, ISNUMBER(MATCH(Hierarchy!$A$2:$A$1000, _xlfn.TEXTSPLIT($C24,", "),0)), "")))</f>
        <v>1</v>
      </c>
      <c r="K24" cm="1">
        <f t="array" ref="K24">COUNTA(_xlfn.UNIQUE(_xlfn._xlws.FILTER(Hierarchy!D$2:D$1000, ISNUMBER(MATCH(Hierarchy!$A$2:$A$1000, _xlfn.TEXTSPLIT($C24,", "),0)), "")))</f>
        <v>1</v>
      </c>
      <c r="L24" cm="1">
        <f t="array" ref="L24">COUNTA(_xlfn.UNIQUE(_xlfn._xlws.FILTER(Hierarchy!E$2:E$1000, ISNUMBER(MATCH(Hierarchy!$A$2:$A$1000, _xlfn.TEXTSPLIT($C24,", "),0)), "")))</f>
        <v>1</v>
      </c>
      <c r="M24" cm="1">
        <f t="array" ref="M24">COUNTA(_xlfn.UNIQUE(_xlfn._xlws.FILTER(Hierarchy!F$2:F$1000, ISNUMBER(MATCH(Hierarchy!$A$2:$A$1000, _xlfn.TEXTSPLIT($C24,", "),0)), "")))</f>
        <v>1</v>
      </c>
      <c r="N24" cm="1">
        <f t="array" ref="N24">COUNTA(_xlfn.UNIQUE(_xlfn._xlws.FILTER(Hierarchy!G$2:G$1000, ISNUMBER(MATCH(Hierarchy!$A$2:$A$1000, _xlfn.TEXTSPLIT($C24,", "),0)), "")))</f>
        <v>1</v>
      </c>
      <c r="O24" cm="1">
        <f t="array" ref="O24">COUNTA(_xlfn.UNIQUE(_xlfn._xlws.FILTER(Hierarchy!H$2:H$1000, ISNUMBER(MATCH(Hierarchy!$A$2:$A$1000, _xlfn.TEXTSPLIT($C24,", "),0)), "")))</f>
        <v>1</v>
      </c>
      <c r="P24" cm="1">
        <f t="array" ref="P24">COUNTA(_xlfn.UNIQUE(_xlfn._xlws.FILTER(Hierarchy!I$2:I$1000, ISNUMBER(MATCH(Hierarchy!$A$2:$A$1000, _xlfn.TEXTSPLIT($C24,", "),0)), "")))</f>
        <v>1</v>
      </c>
      <c r="Q24" cm="1">
        <f t="array" ref="Q24">COUNTA(_xlfn.UNIQUE(_xlfn._xlws.FILTER(Hierarchy!J$2:J$1000, ISNUMBER(MATCH(Hierarchy!$A$2:$A$1000, _xlfn.TEXTSPLIT($C24,", "),0)), "")))</f>
        <v>1</v>
      </c>
      <c r="R24" cm="1">
        <f t="array" ref="R24">COUNTA(_xlfn.UNIQUE(_xlfn._xlws.FILTER(Hierarchy!K$2:K$1000, ISNUMBER(MATCH(Hierarchy!$A$2:$A$1000, _xlfn.TEXTSPLIT($C24,", "),0)), "")))</f>
        <v>1</v>
      </c>
      <c r="S24" cm="1">
        <f t="array" ref="S24">COUNTA(_xlfn.UNIQUE(_xlfn._xlws.FILTER(Hierarchy!L$2:L$1000, ISNUMBER(MATCH(Hierarchy!$A$2:$A$1000, _xlfn.TEXTSPLIT($C24,", "),0)), "")))</f>
        <v>1</v>
      </c>
    </row>
    <row r="25" spans="1:19" x14ac:dyDescent="0.2">
      <c r="A25" t="str">
        <f t="shared" si="0"/>
        <v>AL_and_e_MS_and_FL_pnh</v>
      </c>
      <c r="B25" t="s">
        <v>359</v>
      </c>
      <c r="C25" t="s">
        <v>349</v>
      </c>
      <c r="D25" cm="1">
        <f t="array" ref="D25">SUMPRODUCT(--(TRIM(IFERROR(_xlfn.TEXTSPLIT(_xlfn.TEXTJOIN(",",TRUE,C25),","),""))&lt;&gt;""))</f>
        <v>4</v>
      </c>
      <c r="E25" s="5" t="str" cm="1">
        <f t="array" ref="E25">_xlfn.TEXTJOIN(", ", TRUE, _xlfn.UNIQUE(_xlfn._xlws.FILTER(Hierarchy!F$2:F$1000, ISNUMBER(MATCH(Hierarchy!$A$2:$A$1000, _xlfn.TEXTSPLIT($C25,", "),0)), "")))</f>
        <v>MS, AL, FL</v>
      </c>
      <c r="F25" t="str" cm="1">
        <f t="array" ref="F25">_xlfn.TEXTJOIN(", ", TRUE, _xlfn.UNIQUE(_xlfn._xlws.FILTER(Hierarchy!H$2:H$1000, ISNUMBER(MATCH(Hierarchy!$A$2:$A$1000, _xlfn.TEXTSPLIT($C25,", "),0)), "")))</f>
        <v>MS, AL, FL</v>
      </c>
      <c r="G25" t="str" cm="1">
        <f t="array" ref="G25">_xlfn.TEXTJOIN(", ", TRUE, _xlfn.UNIQUE(_xlfn._xlws.FILTER(Hierarchy!C$2:C$1000, ISNUMBER(MATCH(Hierarchy!$A$2:$A$1000, _xlfn.TEXTSPLIT($C25,", "),0)), "")))</f>
        <v>SERTP</v>
      </c>
      <c r="H25" s="1" cm="1">
        <f t="array" ref="H25">SUMPRODUCT((ISNUMBER(MATCH(Hierarchy!A$2:A$1000, _xlfn.TEXTSPLIT(C25,", "),0)))*Hierarchy!O$2:O$1000)</f>
        <v>6986835</v>
      </c>
      <c r="I25" cm="1">
        <f t="array" ref="I25">COUNTA(_xlfn.UNIQUE(_xlfn._xlws.FILTER(Hierarchy!B$2:B$1000, ISNUMBER(MATCH(Hierarchy!$A$2:$A$1000, _xlfn.TEXTSPLIT($C25,", "),0)), "")))</f>
        <v>2</v>
      </c>
      <c r="J25" cm="1">
        <f t="array" ref="J25">COUNTA(_xlfn.UNIQUE(_xlfn._xlws.FILTER(Hierarchy!C$2:C$1000, ISNUMBER(MATCH(Hierarchy!$A$2:$A$1000, _xlfn.TEXTSPLIT($C25,", "),0)), "")))</f>
        <v>1</v>
      </c>
      <c r="K25" cm="1">
        <f t="array" ref="K25">COUNTA(_xlfn.UNIQUE(_xlfn._xlws.FILTER(Hierarchy!D$2:D$1000, ISNUMBER(MATCH(Hierarchy!$A$2:$A$1000, _xlfn.TEXTSPLIT($C25,", "),0)), "")))</f>
        <v>1</v>
      </c>
      <c r="L25" cm="1">
        <f t="array" ref="L25">COUNTA(_xlfn.UNIQUE(_xlfn._xlws.FILTER(Hierarchy!E$2:E$1000, ISNUMBER(MATCH(Hierarchy!$A$2:$A$1000, _xlfn.TEXTSPLIT($C25,", "),0)), "")))</f>
        <v>2</v>
      </c>
      <c r="M25" cm="1">
        <f t="array" ref="M25">COUNTA(_xlfn.UNIQUE(_xlfn._xlws.FILTER(Hierarchy!F$2:F$1000, ISNUMBER(MATCH(Hierarchy!$A$2:$A$1000, _xlfn.TEXTSPLIT($C25,", "),0)), "")))</f>
        <v>3</v>
      </c>
      <c r="N25" cm="1">
        <f t="array" ref="N25">COUNTA(_xlfn.UNIQUE(_xlfn._xlws.FILTER(Hierarchy!G$2:G$1000, ISNUMBER(MATCH(Hierarchy!$A$2:$A$1000, _xlfn.TEXTSPLIT($C25,", "),0)), "")))</f>
        <v>1</v>
      </c>
      <c r="O25" cm="1">
        <f t="array" ref="O25">COUNTA(_xlfn.UNIQUE(_xlfn._xlws.FILTER(Hierarchy!H$2:H$1000, ISNUMBER(MATCH(Hierarchy!$A$2:$A$1000, _xlfn.TEXTSPLIT($C25,", "),0)), "")))</f>
        <v>3</v>
      </c>
      <c r="P25" cm="1">
        <f t="array" ref="P25">COUNTA(_xlfn.UNIQUE(_xlfn._xlws.FILTER(Hierarchy!I$2:I$1000, ISNUMBER(MATCH(Hierarchy!$A$2:$A$1000, _xlfn.TEXTSPLIT($C25,", "),0)), "")))</f>
        <v>1</v>
      </c>
      <c r="Q25" cm="1">
        <f t="array" ref="Q25">COUNTA(_xlfn.UNIQUE(_xlfn._xlws.FILTER(Hierarchy!J$2:J$1000, ISNUMBER(MATCH(Hierarchy!$A$2:$A$1000, _xlfn.TEXTSPLIT($C25,", "),0)), "")))</f>
        <v>2</v>
      </c>
      <c r="R25" cm="1">
        <f t="array" ref="R25">COUNTA(_xlfn.UNIQUE(_xlfn._xlws.FILTER(Hierarchy!K$2:K$1000, ISNUMBER(MATCH(Hierarchy!$A$2:$A$1000, _xlfn.TEXTSPLIT($C25,", "),0)), "")))</f>
        <v>3</v>
      </c>
      <c r="S25" cm="1">
        <f t="array" ref="S25">COUNTA(_xlfn.UNIQUE(_xlfn._xlws.FILTER(Hierarchy!L$2:L$1000, ISNUMBER(MATCH(Hierarchy!$A$2:$A$1000, _xlfn.TEXTSPLIT($C25,", "),0)), "")))</f>
        <v>3</v>
      </c>
    </row>
    <row r="26" spans="1:19" x14ac:dyDescent="0.2">
      <c r="A26" t="str">
        <f t="shared" si="0"/>
        <v>MN_and_e_ND</v>
      </c>
      <c r="B26" t="s">
        <v>360</v>
      </c>
      <c r="C26" t="s">
        <v>338</v>
      </c>
      <c r="D26" cm="1">
        <f t="array" ref="D26">SUMPRODUCT(--(TRIM(IFERROR(_xlfn.TEXTSPLIT(_xlfn.TEXTJOIN(",",TRUE,C26),","),""))&lt;&gt;""))</f>
        <v>5</v>
      </c>
      <c r="E26" s="5" t="str" cm="1">
        <f t="array" ref="E26">_xlfn.TEXTJOIN(", ", TRUE, _xlfn.UNIQUE(_xlfn._xlws.FILTER(Hierarchy!F$2:F$1000, ISNUMBER(MATCH(Hierarchy!$A$2:$A$1000, _xlfn.TEXTSPLIT($C26,", "),0)), "")))</f>
        <v>ND, MN</v>
      </c>
      <c r="F26" t="str" cm="1">
        <f t="array" ref="F26">_xlfn.TEXTJOIN(", ", TRUE, _xlfn.UNIQUE(_xlfn._xlws.FILTER(Hierarchy!H$2:H$1000, ISNUMBER(MATCH(Hierarchy!$A$2:$A$1000, _xlfn.TEXTSPLIT($C26,", "),0)), "")))</f>
        <v>ND, MN</v>
      </c>
      <c r="G26" t="str" cm="1">
        <f t="array" ref="G26">_xlfn.TEXTJOIN(", ", TRUE, _xlfn.UNIQUE(_xlfn._xlws.FILTER(Hierarchy!C$2:C$1000, ISNUMBER(MATCH(Hierarchy!$A$2:$A$1000, _xlfn.TEXTSPLIT($C26,", "),0)), "")))</f>
        <v>MISO</v>
      </c>
      <c r="H26" s="1" cm="1">
        <f t="array" ref="H26">SUMPRODUCT((ISNUMBER(MATCH(Hierarchy!A$2:A$1000, _xlfn.TEXTSPLIT(C26,", "),0)))*Hierarchy!O$2:O$1000)</f>
        <v>6303313</v>
      </c>
      <c r="I26" cm="1">
        <f t="array" ref="I26">COUNTA(_xlfn.UNIQUE(_xlfn._xlws.FILTER(Hierarchy!B$2:B$1000, ISNUMBER(MATCH(Hierarchy!$A$2:$A$1000, _xlfn.TEXTSPLIT($C26,", "),0)), "")))</f>
        <v>1</v>
      </c>
      <c r="J26" cm="1">
        <f t="array" ref="J26">COUNTA(_xlfn.UNIQUE(_xlfn._xlws.FILTER(Hierarchy!C$2:C$1000, ISNUMBER(MATCH(Hierarchy!$A$2:$A$1000, _xlfn.TEXTSPLIT($C26,", "),0)), "")))</f>
        <v>1</v>
      </c>
      <c r="K26" cm="1">
        <f t="array" ref="K26">COUNTA(_xlfn.UNIQUE(_xlfn._xlws.FILTER(Hierarchy!D$2:D$1000, ISNUMBER(MATCH(Hierarchy!$A$2:$A$1000, _xlfn.TEXTSPLIT($C26,", "),0)), "")))</f>
        <v>1</v>
      </c>
      <c r="L26" cm="1">
        <f t="array" ref="L26">COUNTA(_xlfn.UNIQUE(_xlfn._xlws.FILTER(Hierarchy!E$2:E$1000, ISNUMBER(MATCH(Hierarchy!$A$2:$A$1000, _xlfn.TEXTSPLIT($C26,", "),0)), "")))</f>
        <v>1</v>
      </c>
      <c r="M26" cm="1">
        <f t="array" ref="M26">COUNTA(_xlfn.UNIQUE(_xlfn._xlws.FILTER(Hierarchy!F$2:F$1000, ISNUMBER(MATCH(Hierarchy!$A$2:$A$1000, _xlfn.TEXTSPLIT($C26,", "),0)), "")))</f>
        <v>2</v>
      </c>
      <c r="N26" cm="1">
        <f t="array" ref="N26">COUNTA(_xlfn.UNIQUE(_xlfn._xlws.FILTER(Hierarchy!G$2:G$1000, ISNUMBER(MATCH(Hierarchy!$A$2:$A$1000, _xlfn.TEXTSPLIT($C26,", "),0)), "")))</f>
        <v>1</v>
      </c>
      <c r="O26" cm="1">
        <f t="array" ref="O26">COUNTA(_xlfn.UNIQUE(_xlfn._xlws.FILTER(Hierarchy!H$2:H$1000, ISNUMBER(MATCH(Hierarchy!$A$2:$A$1000, _xlfn.TEXTSPLIT($C26,", "),0)), "")))</f>
        <v>2</v>
      </c>
      <c r="P26" cm="1">
        <f t="array" ref="P26">COUNTA(_xlfn.UNIQUE(_xlfn._xlws.FILTER(Hierarchy!I$2:I$1000, ISNUMBER(MATCH(Hierarchy!$A$2:$A$1000, _xlfn.TEXTSPLIT($C26,", "),0)), "")))</f>
        <v>1</v>
      </c>
      <c r="Q26" cm="1">
        <f t="array" ref="Q26">COUNTA(_xlfn.UNIQUE(_xlfn._xlws.FILTER(Hierarchy!J$2:J$1000, ISNUMBER(MATCH(Hierarchy!$A$2:$A$1000, _xlfn.TEXTSPLIT($C26,", "),0)), "")))</f>
        <v>2</v>
      </c>
      <c r="R26" cm="1">
        <f t="array" ref="R26">COUNTA(_xlfn.UNIQUE(_xlfn._xlws.FILTER(Hierarchy!K$2:K$1000, ISNUMBER(MATCH(Hierarchy!$A$2:$A$1000, _xlfn.TEXTSPLIT($C26,", "),0)), "")))</f>
        <v>2</v>
      </c>
      <c r="S26" cm="1">
        <f t="array" ref="S26">COUNTA(_xlfn.UNIQUE(_xlfn._xlws.FILTER(Hierarchy!L$2:L$1000, ISNUMBER(MATCH(Hierarchy!$A$2:$A$1000, _xlfn.TEXTSPLIT($C26,", "),0)), "")))</f>
        <v>1</v>
      </c>
    </row>
    <row r="27" spans="1:19" x14ac:dyDescent="0.2">
      <c r="A27" t="str">
        <f t="shared" si="0"/>
        <v>WI_and_w_MI</v>
      </c>
      <c r="B27" t="s">
        <v>361</v>
      </c>
      <c r="C27" t="s">
        <v>337</v>
      </c>
      <c r="D27" cm="1">
        <f t="array" ref="D27">SUMPRODUCT(--(TRIM(IFERROR(_xlfn.TEXTSPLIT(_xlfn.TEXTJOIN(",",TRUE,C27),","),""))&lt;&gt;""))</f>
        <v>7</v>
      </c>
      <c r="E27" s="5" t="str" cm="1">
        <f t="array" ref="E27">_xlfn.TEXTJOIN(", ", TRUE, _xlfn.UNIQUE(_xlfn._xlws.FILTER(Hierarchy!F$2:F$1000, ISNUMBER(MATCH(Hierarchy!$A$2:$A$1000, _xlfn.TEXTSPLIT($C27,", "),0)), "")))</f>
        <v>WI, MI</v>
      </c>
      <c r="F27" t="str" cm="1">
        <f t="array" ref="F27">_xlfn.TEXTJOIN(", ", TRUE, _xlfn.UNIQUE(_xlfn._xlws.FILTER(Hierarchy!H$2:H$1000, ISNUMBER(MATCH(Hierarchy!$A$2:$A$1000, _xlfn.TEXTSPLIT($C27,", "),0)), "")))</f>
        <v>WI, MI</v>
      </c>
      <c r="G27" t="str" cm="1">
        <f t="array" ref="G27">_xlfn.TEXTJOIN(", ", TRUE, _xlfn.UNIQUE(_xlfn._xlws.FILTER(Hierarchy!C$2:C$1000, ISNUMBER(MATCH(Hierarchy!$A$2:$A$1000, _xlfn.TEXTSPLIT($C27,", "),0)), "")))</f>
        <v>MISO</v>
      </c>
      <c r="H27" s="1" cm="1">
        <f t="array" ref="H27">SUMPRODUCT((ISNUMBER(MATCH(Hierarchy!A$2:A$1000, _xlfn.TEXTSPLIT(C27,", "),0)))*Hierarchy!O$2:O$1000)</f>
        <v>6203502</v>
      </c>
      <c r="I27" cm="1">
        <f t="array" ref="I27">COUNTA(_xlfn.UNIQUE(_xlfn._xlws.FILTER(Hierarchy!B$2:B$1000, ISNUMBER(MATCH(Hierarchy!$A$2:$A$1000, _xlfn.TEXTSPLIT($C27,", "),0)), "")))</f>
        <v>1</v>
      </c>
      <c r="J27" cm="1">
        <f t="array" ref="J27">COUNTA(_xlfn.UNIQUE(_xlfn._xlws.FILTER(Hierarchy!C$2:C$1000, ISNUMBER(MATCH(Hierarchy!$A$2:$A$1000, _xlfn.TEXTSPLIT($C27,", "),0)), "")))</f>
        <v>1</v>
      </c>
      <c r="K27" cm="1">
        <f t="array" ref="K27">COUNTA(_xlfn.UNIQUE(_xlfn._xlws.FILTER(Hierarchy!D$2:D$1000, ISNUMBER(MATCH(Hierarchy!$A$2:$A$1000, _xlfn.TEXTSPLIT($C27,", "),0)), "")))</f>
        <v>1</v>
      </c>
      <c r="L27" cm="1">
        <f t="array" ref="L27">COUNTA(_xlfn.UNIQUE(_xlfn._xlws.FILTER(Hierarchy!E$2:E$1000, ISNUMBER(MATCH(Hierarchy!$A$2:$A$1000, _xlfn.TEXTSPLIT($C27,", "),0)), "")))</f>
        <v>1</v>
      </c>
      <c r="M27" cm="1">
        <f t="array" ref="M27">COUNTA(_xlfn.UNIQUE(_xlfn._xlws.FILTER(Hierarchy!F$2:F$1000, ISNUMBER(MATCH(Hierarchy!$A$2:$A$1000, _xlfn.TEXTSPLIT($C27,", "),0)), "")))</f>
        <v>2</v>
      </c>
      <c r="N27" cm="1">
        <f t="array" ref="N27">COUNTA(_xlfn.UNIQUE(_xlfn._xlws.FILTER(Hierarchy!G$2:G$1000, ISNUMBER(MATCH(Hierarchy!$A$2:$A$1000, _xlfn.TEXTSPLIT($C27,", "),0)), "")))</f>
        <v>1</v>
      </c>
      <c r="O27" cm="1">
        <f t="array" ref="O27">COUNTA(_xlfn.UNIQUE(_xlfn._xlws.FILTER(Hierarchy!H$2:H$1000, ISNUMBER(MATCH(Hierarchy!$A$2:$A$1000, _xlfn.TEXTSPLIT($C27,", "),0)), "")))</f>
        <v>2</v>
      </c>
      <c r="P27" cm="1">
        <f t="array" ref="P27">COUNTA(_xlfn.UNIQUE(_xlfn._xlws.FILTER(Hierarchy!I$2:I$1000, ISNUMBER(MATCH(Hierarchy!$A$2:$A$1000, _xlfn.TEXTSPLIT($C27,", "),0)), "")))</f>
        <v>1</v>
      </c>
      <c r="Q27" cm="1">
        <f t="array" ref="Q27">COUNTA(_xlfn.UNIQUE(_xlfn._xlws.FILTER(Hierarchy!J$2:J$1000, ISNUMBER(MATCH(Hierarchy!$A$2:$A$1000, _xlfn.TEXTSPLIT($C27,", "),0)), "")))</f>
        <v>1</v>
      </c>
      <c r="R27" cm="1">
        <f t="array" ref="R27">COUNTA(_xlfn.UNIQUE(_xlfn._xlws.FILTER(Hierarchy!K$2:K$1000, ISNUMBER(MATCH(Hierarchy!$A$2:$A$1000, _xlfn.TEXTSPLIT($C27,", "),0)), "")))</f>
        <v>1</v>
      </c>
      <c r="S27" cm="1">
        <f t="array" ref="S27">COUNTA(_xlfn.UNIQUE(_xlfn._xlws.FILTER(Hierarchy!L$2:L$1000, ISNUMBER(MATCH(Hierarchy!$A$2:$A$1000, _xlfn.TEXTSPLIT($C27,", "),0)), "")))</f>
        <v>1</v>
      </c>
    </row>
    <row r="28" spans="1:19" x14ac:dyDescent="0.2">
      <c r="A28" t="str">
        <f t="shared" si="0"/>
        <v>LA_and_e_TX</v>
      </c>
      <c r="B28" t="s">
        <v>362</v>
      </c>
      <c r="C28" s="7" t="s">
        <v>320</v>
      </c>
      <c r="D28" cm="1">
        <f t="array" ref="D28">SUMPRODUCT(--(TRIM(IFERROR(_xlfn.TEXTSPLIT(_xlfn.TEXTJOIN(",",TRUE,C28),","),""))&lt;&gt;""))</f>
        <v>3</v>
      </c>
      <c r="E28" s="5" t="str" cm="1">
        <f t="array" ref="E28">_xlfn.TEXTJOIN(", ", TRUE, _xlfn.UNIQUE(_xlfn._xlws.FILTER(Hierarchy!F$2:F$1000, ISNUMBER(MATCH(Hierarchy!$A$2:$A$1000, _xlfn.TEXTSPLIT($C28,", "),0)), "")))</f>
        <v>LA, TX</v>
      </c>
      <c r="F28" t="str" cm="1">
        <f t="array" ref="F28">_xlfn.TEXTJOIN(", ", TRUE, _xlfn.UNIQUE(_xlfn._xlws.FILTER(Hierarchy!H$2:H$1000, ISNUMBER(MATCH(Hierarchy!$A$2:$A$1000, _xlfn.TEXTSPLIT($C28,", "),0)), "")))</f>
        <v>LA, TX_eastern</v>
      </c>
      <c r="G28" t="str" cm="1">
        <f t="array" ref="G28">_xlfn.TEXTJOIN(", ", TRUE, _xlfn.UNIQUE(_xlfn._xlws.FILTER(Hierarchy!C$2:C$1000, ISNUMBER(MATCH(Hierarchy!$A$2:$A$1000, _xlfn.TEXTSPLIT($C28,", "),0)), "")))</f>
        <v>MISO</v>
      </c>
      <c r="H28" s="1" cm="1">
        <f t="array" ref="H28">SUMPRODUCT((ISNUMBER(MATCH(Hierarchy!A$2:A$1000, _xlfn.TEXTSPLIT(C28,", "),0)))*Hierarchy!O$2:O$1000)</f>
        <v>6188500</v>
      </c>
      <c r="I28" cm="1">
        <f t="array" ref="I28">COUNTA(_xlfn.UNIQUE(_xlfn._xlws.FILTER(Hierarchy!B$2:B$1000, ISNUMBER(MATCH(Hierarchy!$A$2:$A$1000, _xlfn.TEXTSPLIT($C28,", "),0)), "")))</f>
        <v>1</v>
      </c>
      <c r="J28" cm="1">
        <f t="array" ref="J28">COUNTA(_xlfn.UNIQUE(_xlfn._xlws.FILTER(Hierarchy!C$2:C$1000, ISNUMBER(MATCH(Hierarchy!$A$2:$A$1000, _xlfn.TEXTSPLIT($C28,", "),0)), "")))</f>
        <v>1</v>
      </c>
      <c r="K28" cm="1">
        <f t="array" ref="K28">COUNTA(_xlfn.UNIQUE(_xlfn._xlws.FILTER(Hierarchy!D$2:D$1000, ISNUMBER(MATCH(Hierarchy!$A$2:$A$1000, _xlfn.TEXTSPLIT($C28,", "),0)), "")))</f>
        <v>1</v>
      </c>
      <c r="L28" cm="1">
        <f t="array" ref="L28">COUNTA(_xlfn.UNIQUE(_xlfn._xlws.FILTER(Hierarchy!E$2:E$1000, ISNUMBER(MATCH(Hierarchy!$A$2:$A$1000, _xlfn.TEXTSPLIT($C28,", "),0)), "")))</f>
        <v>1</v>
      </c>
      <c r="M28" cm="1">
        <f t="array" ref="M28">COUNTA(_xlfn.UNIQUE(_xlfn._xlws.FILTER(Hierarchy!F$2:F$1000, ISNUMBER(MATCH(Hierarchy!$A$2:$A$1000, _xlfn.TEXTSPLIT($C28,", "),0)), "")))</f>
        <v>2</v>
      </c>
      <c r="N28" cm="1">
        <f t="array" ref="N28">COUNTA(_xlfn.UNIQUE(_xlfn._xlws.FILTER(Hierarchy!G$2:G$1000, ISNUMBER(MATCH(Hierarchy!$A$2:$A$1000, _xlfn.TEXTSPLIT($C28,", "),0)), "")))</f>
        <v>1</v>
      </c>
      <c r="O28" cm="1">
        <f t="array" ref="O28">COUNTA(_xlfn.UNIQUE(_xlfn._xlws.FILTER(Hierarchy!H$2:H$1000, ISNUMBER(MATCH(Hierarchy!$A$2:$A$1000, _xlfn.TEXTSPLIT($C28,", "),0)), "")))</f>
        <v>2</v>
      </c>
      <c r="P28" cm="1">
        <f t="array" ref="P28">COUNTA(_xlfn.UNIQUE(_xlfn._xlws.FILTER(Hierarchy!I$2:I$1000, ISNUMBER(MATCH(Hierarchy!$A$2:$A$1000, _xlfn.TEXTSPLIT($C28,", "),0)), "")))</f>
        <v>1</v>
      </c>
      <c r="Q28" cm="1">
        <f t="array" ref="Q28">COUNTA(_xlfn.UNIQUE(_xlfn._xlws.FILTER(Hierarchy!J$2:J$1000, ISNUMBER(MATCH(Hierarchy!$A$2:$A$1000, _xlfn.TEXTSPLIT($C28,", "),0)), "")))</f>
        <v>2</v>
      </c>
      <c r="R28" cm="1">
        <f t="array" ref="R28">COUNTA(_xlfn.UNIQUE(_xlfn._xlws.FILTER(Hierarchy!K$2:K$1000, ISNUMBER(MATCH(Hierarchy!$A$2:$A$1000, _xlfn.TEXTSPLIT($C28,", "),0)), "")))</f>
        <v>2</v>
      </c>
      <c r="S28" cm="1">
        <f t="array" ref="S28">COUNTA(_xlfn.UNIQUE(_xlfn._xlws.FILTER(Hierarchy!L$2:L$1000, ISNUMBER(MATCH(Hierarchy!$A$2:$A$1000, _xlfn.TEXTSPLIT($C28,", "),0)), "")))</f>
        <v>1</v>
      </c>
    </row>
    <row r="29" spans="1:19" x14ac:dyDescent="0.2">
      <c r="A29" t="str">
        <f t="shared" si="0"/>
        <v>CO</v>
      </c>
      <c r="B29" t="s">
        <v>97</v>
      </c>
      <c r="C29" s="6" t="s">
        <v>312</v>
      </c>
      <c r="D29" cm="1">
        <f t="array" ref="D29">SUMPRODUCT(--(TRIM(IFERROR(_xlfn.TEXTSPLIT(_xlfn.TEXTJOIN(",",TRUE,C29),","),""))&lt;&gt;""))</f>
        <v>2</v>
      </c>
      <c r="E29" s="5" t="str" cm="1">
        <f t="array" ref="E29">_xlfn.TEXTJOIN(", ", TRUE, _xlfn.UNIQUE(_xlfn._xlws.FILTER(Hierarchy!F$2:F$1000, ISNUMBER(MATCH(Hierarchy!$A$2:$A$1000, _xlfn.TEXTSPLIT($C29,", "),0)), "")))</f>
        <v>CO</v>
      </c>
      <c r="F29" t="str" cm="1">
        <f t="array" ref="F29">_xlfn.TEXTJOIN(", ", TRUE, _xlfn.UNIQUE(_xlfn._xlws.FILTER(Hierarchy!H$2:H$1000, ISNUMBER(MATCH(Hierarchy!$A$2:$A$1000, _xlfn.TEXTSPLIT($C29,", "),0)), "")))</f>
        <v>CO</v>
      </c>
      <c r="G29" t="str" cm="1">
        <f t="array" ref="G29">_xlfn.TEXTJOIN(", ", TRUE, _xlfn.UNIQUE(_xlfn._xlws.FILTER(Hierarchy!C$2:C$1000, ISNUMBER(MATCH(Hierarchy!$A$2:$A$1000, _xlfn.TEXTSPLIT($C29,", "),0)), "")))</f>
        <v>WestConnect</v>
      </c>
      <c r="H29" s="1" cm="1">
        <f t="array" ref="H29">SUMPRODUCT((ISNUMBER(MATCH(Hierarchy!A$2:A$1000, _xlfn.TEXTSPLIT(C29,", "),0)))*Hierarchy!O$2:O$1000)</f>
        <v>5957493</v>
      </c>
      <c r="I29" cm="1">
        <f t="array" ref="I29">COUNTA(_xlfn.UNIQUE(_xlfn._xlws.FILTER(Hierarchy!B$2:B$1000, ISNUMBER(MATCH(Hierarchy!$A$2:$A$1000, _xlfn.TEXTSPLIT($C29,", "),0)), "")))</f>
        <v>1</v>
      </c>
      <c r="J29" cm="1">
        <f t="array" ref="J29">COUNTA(_xlfn.UNIQUE(_xlfn._xlws.FILTER(Hierarchy!C$2:C$1000, ISNUMBER(MATCH(Hierarchy!$A$2:$A$1000, _xlfn.TEXTSPLIT($C29,", "),0)), "")))</f>
        <v>1</v>
      </c>
      <c r="K29" cm="1">
        <f t="array" ref="K29">COUNTA(_xlfn.UNIQUE(_xlfn._xlws.FILTER(Hierarchy!D$2:D$1000, ISNUMBER(MATCH(Hierarchy!$A$2:$A$1000, _xlfn.TEXTSPLIT($C29,", "),0)), "")))</f>
        <v>1</v>
      </c>
      <c r="L29" cm="1">
        <f t="array" ref="L29">COUNTA(_xlfn.UNIQUE(_xlfn._xlws.FILTER(Hierarchy!E$2:E$1000, ISNUMBER(MATCH(Hierarchy!$A$2:$A$1000, _xlfn.TEXTSPLIT($C29,", "),0)), "")))</f>
        <v>1</v>
      </c>
      <c r="M29" cm="1">
        <f t="array" ref="M29">COUNTA(_xlfn.UNIQUE(_xlfn._xlws.FILTER(Hierarchy!F$2:F$1000, ISNUMBER(MATCH(Hierarchy!$A$2:$A$1000, _xlfn.TEXTSPLIT($C29,", "),0)), "")))</f>
        <v>1</v>
      </c>
      <c r="N29" cm="1">
        <f t="array" ref="N29">COUNTA(_xlfn.UNIQUE(_xlfn._xlws.FILTER(Hierarchy!G$2:G$1000, ISNUMBER(MATCH(Hierarchy!$A$2:$A$1000, _xlfn.TEXTSPLIT($C29,", "),0)), "")))</f>
        <v>1</v>
      </c>
      <c r="O29" cm="1">
        <f t="array" ref="O29">COUNTA(_xlfn.UNIQUE(_xlfn._xlws.FILTER(Hierarchy!H$2:H$1000, ISNUMBER(MATCH(Hierarchy!$A$2:$A$1000, _xlfn.TEXTSPLIT($C29,", "),0)), "")))</f>
        <v>1</v>
      </c>
      <c r="P29" cm="1">
        <f t="array" ref="P29">COUNTA(_xlfn.UNIQUE(_xlfn._xlws.FILTER(Hierarchy!I$2:I$1000, ISNUMBER(MATCH(Hierarchy!$A$2:$A$1000, _xlfn.TEXTSPLIT($C29,", "),0)), "")))</f>
        <v>1</v>
      </c>
      <c r="Q29" cm="1">
        <f t="array" ref="Q29">COUNTA(_xlfn.UNIQUE(_xlfn._xlws.FILTER(Hierarchy!J$2:J$1000, ISNUMBER(MATCH(Hierarchy!$A$2:$A$1000, _xlfn.TEXTSPLIT($C29,", "),0)), "")))</f>
        <v>1</v>
      </c>
      <c r="R29" cm="1">
        <f t="array" ref="R29">COUNTA(_xlfn.UNIQUE(_xlfn._xlws.FILTER(Hierarchy!K$2:K$1000, ISNUMBER(MATCH(Hierarchy!$A$2:$A$1000, _xlfn.TEXTSPLIT($C29,", "),0)), "")))</f>
        <v>1</v>
      </c>
      <c r="S29" cm="1">
        <f t="array" ref="S29">COUNTA(_xlfn.UNIQUE(_xlfn._xlws.FILTER(Hierarchy!L$2:L$1000, ISNUMBER(MATCH(Hierarchy!$A$2:$A$1000, _xlfn.TEXTSPLIT($C29,", "),0)), "")))</f>
        <v>1</v>
      </c>
    </row>
    <row r="30" spans="1:19" x14ac:dyDescent="0.2">
      <c r="A30" t="str">
        <f t="shared" si="0"/>
        <v>w_TX_ERCOT</v>
      </c>
      <c r="B30" t="s">
        <v>363</v>
      </c>
      <c r="C30" t="s">
        <v>317</v>
      </c>
      <c r="D30" cm="1">
        <f t="array" ref="D30">SUMPRODUCT(--(TRIM(IFERROR(_xlfn.TEXTSPLIT(_xlfn.TEXTJOIN(",",TRUE,C30),","),""))&lt;&gt;""))</f>
        <v>4</v>
      </c>
      <c r="E30" s="5" t="str" cm="1">
        <f t="array" ref="E30">_xlfn.TEXTJOIN(", ", TRUE, _xlfn.UNIQUE(_xlfn._xlws.FILTER(Hierarchy!F$2:F$1000, ISNUMBER(MATCH(Hierarchy!$A$2:$A$1000, _xlfn.TEXTSPLIT($C30,", "),0)), "")))</f>
        <v>TX</v>
      </c>
      <c r="F30" t="str" cm="1">
        <f t="array" ref="F30">_xlfn.TEXTJOIN(", ", TRUE, _xlfn.UNIQUE(_xlfn._xlws.FILTER(Hierarchy!H$2:H$1000, ISNUMBER(MATCH(Hierarchy!$A$2:$A$1000, _xlfn.TEXTSPLIT($C30,", "),0)), "")))</f>
        <v>TX_ercot</v>
      </c>
      <c r="G30" t="str" cm="1">
        <f t="array" ref="G30">_xlfn.TEXTJOIN(", ", TRUE, _xlfn.UNIQUE(_xlfn._xlws.FILTER(Hierarchy!C$2:C$1000, ISNUMBER(MATCH(Hierarchy!$A$2:$A$1000, _xlfn.TEXTSPLIT($C30,", "),0)), "")))</f>
        <v>ERCOT</v>
      </c>
      <c r="H30" s="1" cm="1">
        <f t="array" ref="H30">SUMPRODUCT((ISNUMBER(MATCH(Hierarchy!A$2:A$1000, _xlfn.TEXTSPLIT(C30,", "),0)))*Hierarchy!O$2:O$1000)</f>
        <v>5945507</v>
      </c>
      <c r="I30" cm="1">
        <f t="array" ref="I30">COUNTA(_xlfn.UNIQUE(_xlfn._xlws.FILTER(Hierarchy!B$2:B$1000, ISNUMBER(MATCH(Hierarchy!$A$2:$A$1000, _xlfn.TEXTSPLIT($C30,", "),0)), "")))</f>
        <v>1</v>
      </c>
      <c r="J30" cm="1">
        <f t="array" ref="J30">COUNTA(_xlfn.UNIQUE(_xlfn._xlws.FILTER(Hierarchy!C$2:C$1000, ISNUMBER(MATCH(Hierarchy!$A$2:$A$1000, _xlfn.TEXTSPLIT($C30,", "),0)), "")))</f>
        <v>1</v>
      </c>
      <c r="K30" cm="1">
        <f t="array" ref="K30">COUNTA(_xlfn.UNIQUE(_xlfn._xlws.FILTER(Hierarchy!D$2:D$1000, ISNUMBER(MATCH(Hierarchy!$A$2:$A$1000, _xlfn.TEXTSPLIT($C30,", "),0)), "")))</f>
        <v>1</v>
      </c>
      <c r="L30" cm="1">
        <f t="array" ref="L30">COUNTA(_xlfn.UNIQUE(_xlfn._xlws.FILTER(Hierarchy!E$2:E$1000, ISNUMBER(MATCH(Hierarchy!$A$2:$A$1000, _xlfn.TEXTSPLIT($C30,", "),0)), "")))</f>
        <v>1</v>
      </c>
      <c r="M30" cm="1">
        <f t="array" ref="M30">COUNTA(_xlfn.UNIQUE(_xlfn._xlws.FILTER(Hierarchy!F$2:F$1000, ISNUMBER(MATCH(Hierarchy!$A$2:$A$1000, _xlfn.TEXTSPLIT($C30,", "),0)), "")))</f>
        <v>1</v>
      </c>
      <c r="N30" cm="1">
        <f t="array" ref="N30">COUNTA(_xlfn.UNIQUE(_xlfn._xlws.FILTER(Hierarchy!G$2:G$1000, ISNUMBER(MATCH(Hierarchy!$A$2:$A$1000, _xlfn.TEXTSPLIT($C30,", "),0)), "")))</f>
        <v>1</v>
      </c>
      <c r="O30" cm="1">
        <f t="array" ref="O30">COUNTA(_xlfn.UNIQUE(_xlfn._xlws.FILTER(Hierarchy!H$2:H$1000, ISNUMBER(MATCH(Hierarchy!$A$2:$A$1000, _xlfn.TEXTSPLIT($C30,", "),0)), "")))</f>
        <v>1</v>
      </c>
      <c r="P30" cm="1">
        <f t="array" ref="P30">COUNTA(_xlfn.UNIQUE(_xlfn._xlws.FILTER(Hierarchy!I$2:I$1000, ISNUMBER(MATCH(Hierarchy!$A$2:$A$1000, _xlfn.TEXTSPLIT($C30,", "),0)), "")))</f>
        <v>1</v>
      </c>
      <c r="Q30" cm="1">
        <f t="array" ref="Q30">COUNTA(_xlfn.UNIQUE(_xlfn._xlws.FILTER(Hierarchy!J$2:J$1000, ISNUMBER(MATCH(Hierarchy!$A$2:$A$1000, _xlfn.TEXTSPLIT($C30,", "),0)), "")))</f>
        <v>1</v>
      </c>
      <c r="R30" cm="1">
        <f t="array" ref="R30">COUNTA(_xlfn.UNIQUE(_xlfn._xlws.FILTER(Hierarchy!K$2:K$1000, ISNUMBER(MATCH(Hierarchy!$A$2:$A$1000, _xlfn.TEXTSPLIT($C30,", "),0)), "")))</f>
        <v>1</v>
      </c>
      <c r="S30" cm="1">
        <f t="array" ref="S30">COUNTA(_xlfn.UNIQUE(_xlfn._xlws.FILTER(Hierarchy!L$2:L$1000, ISNUMBER(MATCH(Hierarchy!$A$2:$A$1000, _xlfn.TEXTSPLIT($C30,", "),0)), "")))</f>
        <v>1</v>
      </c>
    </row>
    <row r="31" spans="1:19" x14ac:dyDescent="0.2">
      <c r="A31" t="str">
        <f t="shared" si="0"/>
        <v>KS_and_w_MO</v>
      </c>
      <c r="B31" t="s">
        <v>364</v>
      </c>
      <c r="C31" t="s">
        <v>316</v>
      </c>
      <c r="D31" cm="1">
        <f t="array" ref="D31">SUMPRODUCT(--(TRIM(IFERROR(_xlfn.TEXTSPLIT(_xlfn.TEXTJOIN(",",TRUE,C31),","),""))&lt;&gt;""))</f>
        <v>4</v>
      </c>
      <c r="E31" s="5" t="str" cm="1">
        <f t="array" ref="E31">_xlfn.TEXTJOIN(", ", TRUE, _xlfn.UNIQUE(_xlfn._xlws.FILTER(Hierarchy!F$2:F$1000, ISNUMBER(MATCH(Hierarchy!$A$2:$A$1000, _xlfn.TEXTSPLIT($C31,", "),0)), "")))</f>
        <v>KS, MO</v>
      </c>
      <c r="F31" t="str" cm="1">
        <f t="array" ref="F31">_xlfn.TEXTJOIN(", ", TRUE, _xlfn.UNIQUE(_xlfn._xlws.FILTER(Hierarchy!H$2:H$1000, ISNUMBER(MATCH(Hierarchy!$A$2:$A$1000, _xlfn.TEXTSPLIT($C31,", "),0)), "")))</f>
        <v>KS, MO</v>
      </c>
      <c r="G31" t="str" cm="1">
        <f t="array" ref="G31">_xlfn.TEXTJOIN(", ", TRUE, _xlfn.UNIQUE(_xlfn._xlws.FILTER(Hierarchy!C$2:C$1000, ISNUMBER(MATCH(Hierarchy!$A$2:$A$1000, _xlfn.TEXTSPLIT($C31,", "),0)), "")))</f>
        <v>SPP</v>
      </c>
      <c r="H31" s="1" cm="1">
        <f t="array" ref="H31">SUMPRODUCT((ISNUMBER(MATCH(Hierarchy!A$2:A$1000, _xlfn.TEXTSPLIT(C31,", "),0)))*Hierarchy!O$2:O$1000)</f>
        <v>5640079</v>
      </c>
      <c r="I31" cm="1">
        <f t="array" ref="I31">COUNTA(_xlfn.UNIQUE(_xlfn._xlws.FILTER(Hierarchy!B$2:B$1000, ISNUMBER(MATCH(Hierarchy!$A$2:$A$1000, _xlfn.TEXTSPLIT($C31,", "),0)), "")))</f>
        <v>1</v>
      </c>
      <c r="J31" cm="1">
        <f t="array" ref="J31">COUNTA(_xlfn.UNIQUE(_xlfn._xlws.FILTER(Hierarchy!C$2:C$1000, ISNUMBER(MATCH(Hierarchy!$A$2:$A$1000, _xlfn.TEXTSPLIT($C31,", "),0)), "")))</f>
        <v>1</v>
      </c>
      <c r="K31" cm="1">
        <f t="array" ref="K31">COUNTA(_xlfn.UNIQUE(_xlfn._xlws.FILTER(Hierarchy!D$2:D$1000, ISNUMBER(MATCH(Hierarchy!$A$2:$A$1000, _xlfn.TEXTSPLIT($C31,", "),0)), "")))</f>
        <v>1</v>
      </c>
      <c r="L31" cm="1">
        <f t="array" ref="L31">COUNTA(_xlfn.UNIQUE(_xlfn._xlws.FILTER(Hierarchy!E$2:E$1000, ISNUMBER(MATCH(Hierarchy!$A$2:$A$1000, _xlfn.TEXTSPLIT($C31,", "),0)), "")))</f>
        <v>1</v>
      </c>
      <c r="M31" cm="1">
        <f t="array" ref="M31">COUNTA(_xlfn.UNIQUE(_xlfn._xlws.FILTER(Hierarchy!F$2:F$1000, ISNUMBER(MATCH(Hierarchy!$A$2:$A$1000, _xlfn.TEXTSPLIT($C31,", "),0)), "")))</f>
        <v>2</v>
      </c>
      <c r="N31" cm="1">
        <f t="array" ref="N31">COUNTA(_xlfn.UNIQUE(_xlfn._xlws.FILTER(Hierarchy!G$2:G$1000, ISNUMBER(MATCH(Hierarchy!$A$2:$A$1000, _xlfn.TEXTSPLIT($C31,", "),0)), "")))</f>
        <v>1</v>
      </c>
      <c r="O31" cm="1">
        <f t="array" ref="O31">COUNTA(_xlfn.UNIQUE(_xlfn._xlws.FILTER(Hierarchy!H$2:H$1000, ISNUMBER(MATCH(Hierarchy!$A$2:$A$1000, _xlfn.TEXTSPLIT($C31,", "),0)), "")))</f>
        <v>2</v>
      </c>
      <c r="P31" cm="1">
        <f t="array" ref="P31">COUNTA(_xlfn.UNIQUE(_xlfn._xlws.FILTER(Hierarchy!I$2:I$1000, ISNUMBER(MATCH(Hierarchy!$A$2:$A$1000, _xlfn.TEXTSPLIT($C31,", "),0)), "")))</f>
        <v>1</v>
      </c>
      <c r="Q31" cm="1">
        <f t="array" ref="Q31">COUNTA(_xlfn.UNIQUE(_xlfn._xlws.FILTER(Hierarchy!J$2:J$1000, ISNUMBER(MATCH(Hierarchy!$A$2:$A$1000, _xlfn.TEXTSPLIT($C31,", "),0)), "")))</f>
        <v>2</v>
      </c>
      <c r="R31" cm="1">
        <f t="array" ref="R31">COUNTA(_xlfn.UNIQUE(_xlfn._xlws.FILTER(Hierarchy!K$2:K$1000, ISNUMBER(MATCH(Hierarchy!$A$2:$A$1000, _xlfn.TEXTSPLIT($C31,", "),0)), "")))</f>
        <v>2</v>
      </c>
      <c r="S31" cm="1">
        <f t="array" ref="S31">COUNTA(_xlfn.UNIQUE(_xlfn._xlws.FILTER(Hierarchy!L$2:L$1000, ISNUMBER(MATCH(Hierarchy!$A$2:$A$1000, _xlfn.TEXTSPLIT($C31,", "),0)), "")))</f>
        <v>1</v>
      </c>
    </row>
    <row r="32" spans="1:19" x14ac:dyDescent="0.2">
      <c r="A32" t="str">
        <f t="shared" si="0"/>
        <v>SC</v>
      </c>
      <c r="B32" t="s">
        <v>223</v>
      </c>
      <c r="C32" t="s">
        <v>322</v>
      </c>
      <c r="D32" cm="1">
        <f t="array" ref="D32">SUMPRODUCT(--(TRIM(IFERROR(_xlfn.TEXTSPLIT(_xlfn.TEXTJOIN(",",TRUE,C32),","),""))&lt;&gt;""))</f>
        <v>2</v>
      </c>
      <c r="E32" s="5" t="str" cm="1">
        <f t="array" ref="E32">_xlfn.TEXTJOIN(", ", TRUE, _xlfn.UNIQUE(_xlfn._xlws.FILTER(Hierarchy!F$2:F$1000, ISNUMBER(MATCH(Hierarchy!$A$2:$A$1000, _xlfn.TEXTSPLIT($C32,", "),0)), "")))</f>
        <v>SC</v>
      </c>
      <c r="F32" t="str" cm="1">
        <f t="array" ref="F32">_xlfn.TEXTJOIN(", ", TRUE, _xlfn.UNIQUE(_xlfn._xlws.FILTER(Hierarchy!H$2:H$1000, ISNUMBER(MATCH(Hierarchy!$A$2:$A$1000, _xlfn.TEXTSPLIT($C32,", "),0)), "")))</f>
        <v>SC</v>
      </c>
      <c r="G32" t="str" cm="1">
        <f t="array" ref="G32">_xlfn.TEXTJOIN(", ", TRUE, _xlfn.UNIQUE(_xlfn._xlws.FILTER(Hierarchy!C$2:C$1000, ISNUMBER(MATCH(Hierarchy!$A$2:$A$1000, _xlfn.TEXTSPLIT($C32,", "),0)), "")))</f>
        <v>SERTP</v>
      </c>
      <c r="H32" s="1" cm="1">
        <f t="array" ref="H32">SUMPRODUCT((ISNUMBER(MATCH(Hierarchy!A$2:A$1000, _xlfn.TEXTSPLIT(C32,", "),0)))*Hierarchy!O$2:O$1000)</f>
        <v>5478831</v>
      </c>
      <c r="I32" cm="1">
        <f t="array" ref="I32">COUNTA(_xlfn.UNIQUE(_xlfn._xlws.FILTER(Hierarchy!B$2:B$1000, ISNUMBER(MATCH(Hierarchy!$A$2:$A$1000, _xlfn.TEXTSPLIT($C32,", "),0)), "")))</f>
        <v>1</v>
      </c>
      <c r="J32" cm="1">
        <f t="array" ref="J32">COUNTA(_xlfn.UNIQUE(_xlfn._xlws.FILTER(Hierarchy!C$2:C$1000, ISNUMBER(MATCH(Hierarchy!$A$2:$A$1000, _xlfn.TEXTSPLIT($C32,", "),0)), "")))</f>
        <v>1</v>
      </c>
      <c r="K32" cm="1">
        <f t="array" ref="K32">COUNTA(_xlfn.UNIQUE(_xlfn._xlws.FILTER(Hierarchy!D$2:D$1000, ISNUMBER(MATCH(Hierarchy!$A$2:$A$1000, _xlfn.TEXTSPLIT($C32,", "),0)), "")))</f>
        <v>1</v>
      </c>
      <c r="L32" cm="1">
        <f t="array" ref="L32">COUNTA(_xlfn.UNIQUE(_xlfn._xlws.FILTER(Hierarchy!E$2:E$1000, ISNUMBER(MATCH(Hierarchy!$A$2:$A$1000, _xlfn.TEXTSPLIT($C32,", "),0)), "")))</f>
        <v>1</v>
      </c>
      <c r="M32" cm="1">
        <f t="array" ref="M32">COUNTA(_xlfn.UNIQUE(_xlfn._xlws.FILTER(Hierarchy!F$2:F$1000, ISNUMBER(MATCH(Hierarchy!$A$2:$A$1000, _xlfn.TEXTSPLIT($C32,", "),0)), "")))</f>
        <v>1</v>
      </c>
      <c r="N32" cm="1">
        <f t="array" ref="N32">COUNTA(_xlfn.UNIQUE(_xlfn._xlws.FILTER(Hierarchy!G$2:G$1000, ISNUMBER(MATCH(Hierarchy!$A$2:$A$1000, _xlfn.TEXTSPLIT($C32,", "),0)), "")))</f>
        <v>1</v>
      </c>
      <c r="O32" cm="1">
        <f t="array" ref="O32">COUNTA(_xlfn.UNIQUE(_xlfn._xlws.FILTER(Hierarchy!H$2:H$1000, ISNUMBER(MATCH(Hierarchy!$A$2:$A$1000, _xlfn.TEXTSPLIT($C32,", "),0)), "")))</f>
        <v>1</v>
      </c>
      <c r="P32" cm="1">
        <f t="array" ref="P32">COUNTA(_xlfn.UNIQUE(_xlfn._xlws.FILTER(Hierarchy!I$2:I$1000, ISNUMBER(MATCH(Hierarchy!$A$2:$A$1000, _xlfn.TEXTSPLIT($C32,", "),0)), "")))</f>
        <v>1</v>
      </c>
      <c r="Q32" cm="1">
        <f t="array" ref="Q32">COUNTA(_xlfn.UNIQUE(_xlfn._xlws.FILTER(Hierarchy!J$2:J$1000, ISNUMBER(MATCH(Hierarchy!$A$2:$A$1000, _xlfn.TEXTSPLIT($C32,", "),0)), "")))</f>
        <v>1</v>
      </c>
      <c r="R32" cm="1">
        <f t="array" ref="R32">COUNTA(_xlfn.UNIQUE(_xlfn._xlws.FILTER(Hierarchy!K$2:K$1000, ISNUMBER(MATCH(Hierarchy!$A$2:$A$1000, _xlfn.TEXTSPLIT($C32,", "),0)), "")))</f>
        <v>1</v>
      </c>
      <c r="S32" cm="1">
        <f t="array" ref="S32">COUNTA(_xlfn.UNIQUE(_xlfn._xlws.FILTER(Hierarchy!L$2:L$1000, ISNUMBER(MATCH(Hierarchy!$A$2:$A$1000, _xlfn.TEXTSPLIT($C32,", "),0)), "")))</f>
        <v>2</v>
      </c>
    </row>
    <row r="33" spans="1:19" x14ac:dyDescent="0.2">
      <c r="A33" t="str">
        <f t="shared" si="0"/>
        <v>CT_and_RT</v>
      </c>
      <c r="B33" t="s">
        <v>365</v>
      </c>
      <c r="C33" t="s">
        <v>344</v>
      </c>
      <c r="D33" cm="1">
        <f t="array" ref="D33">SUMPRODUCT(--(TRIM(IFERROR(_xlfn.TEXTSPLIT(_xlfn.TEXTJOIN(",",TRUE,C33),","),""))&lt;&gt;""))</f>
        <v>2</v>
      </c>
      <c r="E33" s="5" t="str" cm="1">
        <f t="array" ref="E33">_xlfn.TEXTJOIN(", ", TRUE, _xlfn.UNIQUE(_xlfn._xlws.FILTER(Hierarchy!F$2:F$1000, ISNUMBER(MATCH(Hierarchy!$A$2:$A$1000, _xlfn.TEXTSPLIT($C33,", "),0)), "")))</f>
        <v>CT, RI</v>
      </c>
      <c r="F33" t="str" cm="1">
        <f t="array" ref="F33">_xlfn.TEXTJOIN(", ", TRUE, _xlfn.UNIQUE(_xlfn._xlws.FILTER(Hierarchy!H$2:H$1000, ISNUMBER(MATCH(Hierarchy!$A$2:$A$1000, _xlfn.TEXTSPLIT($C33,", "),0)), "")))</f>
        <v>CT, RI</v>
      </c>
      <c r="G33" t="str" cm="1">
        <f t="array" ref="G33">_xlfn.TEXTJOIN(", ", TRUE, _xlfn.UNIQUE(_xlfn._xlws.FILTER(Hierarchy!C$2:C$1000, ISNUMBER(MATCH(Hierarchy!$A$2:$A$1000, _xlfn.TEXTSPLIT($C33,", "),0)), "")))</f>
        <v>ISONE</v>
      </c>
      <c r="H33" s="1" cm="1">
        <f t="array" ref="H33">SUMPRODUCT((ISNUMBER(MATCH(Hierarchy!A$2:A$1000, _xlfn.TEXTSPLIT(C33,", "),0)))*Hierarchy!O$2:O$1000)</f>
        <v>4787377</v>
      </c>
      <c r="I33" cm="1">
        <f t="array" ref="I33">COUNTA(_xlfn.UNIQUE(_xlfn._xlws.FILTER(Hierarchy!B$2:B$1000, ISNUMBER(MATCH(Hierarchy!$A$2:$A$1000, _xlfn.TEXTSPLIT($C33,", "),0)), "")))</f>
        <v>1</v>
      </c>
      <c r="J33" cm="1">
        <f t="array" ref="J33">COUNTA(_xlfn.UNIQUE(_xlfn._xlws.FILTER(Hierarchy!C$2:C$1000, ISNUMBER(MATCH(Hierarchy!$A$2:$A$1000, _xlfn.TEXTSPLIT($C33,", "),0)), "")))</f>
        <v>1</v>
      </c>
      <c r="K33" cm="1">
        <f t="array" ref="K33">COUNTA(_xlfn.UNIQUE(_xlfn._xlws.FILTER(Hierarchy!D$2:D$1000, ISNUMBER(MATCH(Hierarchy!$A$2:$A$1000, _xlfn.TEXTSPLIT($C33,", "),0)), "")))</f>
        <v>1</v>
      </c>
      <c r="L33" cm="1">
        <f t="array" ref="L33">COUNTA(_xlfn.UNIQUE(_xlfn._xlws.FILTER(Hierarchy!E$2:E$1000, ISNUMBER(MATCH(Hierarchy!$A$2:$A$1000, _xlfn.TEXTSPLIT($C33,", "),0)), "")))</f>
        <v>1</v>
      </c>
      <c r="M33" cm="1">
        <f t="array" ref="M33">COUNTA(_xlfn.UNIQUE(_xlfn._xlws.FILTER(Hierarchy!F$2:F$1000, ISNUMBER(MATCH(Hierarchy!$A$2:$A$1000, _xlfn.TEXTSPLIT($C33,", "),0)), "")))</f>
        <v>2</v>
      </c>
      <c r="N33" cm="1">
        <f t="array" ref="N33">COUNTA(_xlfn.UNIQUE(_xlfn._xlws.FILTER(Hierarchy!G$2:G$1000, ISNUMBER(MATCH(Hierarchy!$A$2:$A$1000, _xlfn.TEXTSPLIT($C33,", "),0)), "")))</f>
        <v>1</v>
      </c>
      <c r="O33" cm="1">
        <f t="array" ref="O33">COUNTA(_xlfn.UNIQUE(_xlfn._xlws.FILTER(Hierarchy!H$2:H$1000, ISNUMBER(MATCH(Hierarchy!$A$2:$A$1000, _xlfn.TEXTSPLIT($C33,", "),0)), "")))</f>
        <v>2</v>
      </c>
      <c r="P33" cm="1">
        <f t="array" ref="P33">COUNTA(_xlfn.UNIQUE(_xlfn._xlws.FILTER(Hierarchy!I$2:I$1000, ISNUMBER(MATCH(Hierarchy!$A$2:$A$1000, _xlfn.TEXTSPLIT($C33,", "),0)), "")))</f>
        <v>1</v>
      </c>
      <c r="Q33" cm="1">
        <f t="array" ref="Q33">COUNTA(_xlfn.UNIQUE(_xlfn._xlws.FILTER(Hierarchy!J$2:J$1000, ISNUMBER(MATCH(Hierarchy!$A$2:$A$1000, _xlfn.TEXTSPLIT($C33,", "),0)), "")))</f>
        <v>1</v>
      </c>
      <c r="R33" cm="1">
        <f t="array" ref="R33">COUNTA(_xlfn.UNIQUE(_xlfn._xlws.FILTER(Hierarchy!K$2:K$1000, ISNUMBER(MATCH(Hierarchy!$A$2:$A$1000, _xlfn.TEXTSPLIT($C33,", "),0)), "")))</f>
        <v>1</v>
      </c>
      <c r="S33" cm="1">
        <f t="array" ref="S33">COUNTA(_xlfn.UNIQUE(_xlfn._xlws.FILTER(Hierarchy!L$2:L$1000, ISNUMBER(MATCH(Hierarchy!$A$2:$A$1000, _xlfn.TEXTSPLIT($C33,", "),0)), "")))</f>
        <v>1</v>
      </c>
    </row>
    <row r="34" spans="1:19" x14ac:dyDescent="0.2">
      <c r="A34" t="str">
        <f t="shared" si="0"/>
        <v>e_AR_and_w_MS</v>
      </c>
      <c r="B34" t="s">
        <v>366</v>
      </c>
      <c r="C34" s="7" t="s">
        <v>321</v>
      </c>
      <c r="D34" cm="1">
        <f t="array" ref="D34">SUMPRODUCT(--(TRIM(IFERROR(_xlfn.TEXTSPLIT(_xlfn.TEXTJOIN(",",TRUE,C34),","),""))&lt;&gt;""))</f>
        <v>2</v>
      </c>
      <c r="E34" s="5" t="str" cm="1">
        <f t="array" ref="E34">_xlfn.TEXTJOIN(", ", TRUE, _xlfn.UNIQUE(_xlfn._xlws.FILTER(Hierarchy!F$2:F$1000, ISNUMBER(MATCH(Hierarchy!$A$2:$A$1000, _xlfn.TEXTSPLIT($C34,", "),0)), "")))</f>
        <v>AR, MS</v>
      </c>
      <c r="F34" t="str" cm="1">
        <f t="array" ref="F34">_xlfn.TEXTJOIN(", ", TRUE, _xlfn.UNIQUE(_xlfn._xlws.FILTER(Hierarchy!H$2:H$1000, ISNUMBER(MATCH(Hierarchy!$A$2:$A$1000, _xlfn.TEXTSPLIT($C34,", "),0)), "")))</f>
        <v>AR, MS</v>
      </c>
      <c r="G34" t="str" cm="1">
        <f t="array" ref="G34">_xlfn.TEXTJOIN(", ", TRUE, _xlfn.UNIQUE(_xlfn._xlws.FILTER(Hierarchy!C$2:C$1000, ISNUMBER(MATCH(Hierarchy!$A$2:$A$1000, _xlfn.TEXTSPLIT($C34,", "),0)), "")))</f>
        <v>MISO</v>
      </c>
      <c r="H34" s="1" cm="1">
        <f t="array" ref="H34">SUMPRODUCT((ISNUMBER(MATCH(Hierarchy!A$2:A$1000, _xlfn.TEXTSPLIT(C34,", "),0)))*Hierarchy!O$2:O$1000)</f>
        <v>4311396</v>
      </c>
      <c r="I34" cm="1">
        <f t="array" ref="I34">COUNTA(_xlfn.UNIQUE(_xlfn._xlws.FILTER(Hierarchy!B$2:B$1000, ISNUMBER(MATCH(Hierarchy!$A$2:$A$1000, _xlfn.TEXTSPLIT($C34,", "),0)), "")))</f>
        <v>1</v>
      </c>
      <c r="J34" cm="1">
        <f t="array" ref="J34">COUNTA(_xlfn.UNIQUE(_xlfn._xlws.FILTER(Hierarchy!C$2:C$1000, ISNUMBER(MATCH(Hierarchy!$A$2:$A$1000, _xlfn.TEXTSPLIT($C34,", "),0)), "")))</f>
        <v>1</v>
      </c>
      <c r="K34" cm="1">
        <f t="array" ref="K34">COUNTA(_xlfn.UNIQUE(_xlfn._xlws.FILTER(Hierarchy!D$2:D$1000, ISNUMBER(MATCH(Hierarchy!$A$2:$A$1000, _xlfn.TEXTSPLIT($C34,", "),0)), "")))</f>
        <v>1</v>
      </c>
      <c r="L34" cm="1">
        <f t="array" ref="L34">COUNTA(_xlfn.UNIQUE(_xlfn._xlws.FILTER(Hierarchy!E$2:E$1000, ISNUMBER(MATCH(Hierarchy!$A$2:$A$1000, _xlfn.TEXTSPLIT($C34,", "),0)), "")))</f>
        <v>2</v>
      </c>
      <c r="M34" cm="1">
        <f t="array" ref="M34">COUNTA(_xlfn.UNIQUE(_xlfn._xlws.FILTER(Hierarchy!F$2:F$1000, ISNUMBER(MATCH(Hierarchy!$A$2:$A$1000, _xlfn.TEXTSPLIT($C34,", "),0)), "")))</f>
        <v>2</v>
      </c>
      <c r="N34" cm="1">
        <f t="array" ref="N34">COUNTA(_xlfn.UNIQUE(_xlfn._xlws.FILTER(Hierarchy!G$2:G$1000, ISNUMBER(MATCH(Hierarchy!$A$2:$A$1000, _xlfn.TEXTSPLIT($C34,", "),0)), "")))</f>
        <v>1</v>
      </c>
      <c r="O34" cm="1">
        <f t="array" ref="O34">COUNTA(_xlfn.UNIQUE(_xlfn._xlws.FILTER(Hierarchy!H$2:H$1000, ISNUMBER(MATCH(Hierarchy!$A$2:$A$1000, _xlfn.TEXTSPLIT($C34,", "),0)), "")))</f>
        <v>2</v>
      </c>
      <c r="P34" cm="1">
        <f t="array" ref="P34">COUNTA(_xlfn.UNIQUE(_xlfn._xlws.FILTER(Hierarchy!I$2:I$1000, ISNUMBER(MATCH(Hierarchy!$A$2:$A$1000, _xlfn.TEXTSPLIT($C34,", "),0)), "")))</f>
        <v>1</v>
      </c>
      <c r="Q34" cm="1">
        <f t="array" ref="Q34">COUNTA(_xlfn.UNIQUE(_xlfn._xlws.FILTER(Hierarchy!J$2:J$1000, ISNUMBER(MATCH(Hierarchy!$A$2:$A$1000, _xlfn.TEXTSPLIT($C34,", "),0)), "")))</f>
        <v>1</v>
      </c>
      <c r="R34" cm="1">
        <f t="array" ref="R34">COUNTA(_xlfn.UNIQUE(_xlfn._xlws.FILTER(Hierarchy!K$2:K$1000, ISNUMBER(MATCH(Hierarchy!$A$2:$A$1000, _xlfn.TEXTSPLIT($C34,", "),0)), "")))</f>
        <v>1</v>
      </c>
      <c r="S34" cm="1">
        <f t="array" ref="S34">COUNTA(_xlfn.UNIQUE(_xlfn._xlws.FILTER(Hierarchy!L$2:L$1000, ISNUMBER(MATCH(Hierarchy!$A$2:$A$1000, _xlfn.TEXTSPLIT($C34,", "),0)), "")))</f>
        <v>1</v>
      </c>
    </row>
    <row r="35" spans="1:19" x14ac:dyDescent="0.2">
      <c r="A35" t="str">
        <f t="shared" si="0"/>
        <v>e_MO</v>
      </c>
      <c r="B35" t="s">
        <v>367</v>
      </c>
      <c r="C35" t="s">
        <v>331</v>
      </c>
      <c r="D35" cm="1">
        <f t="array" ref="D35">SUMPRODUCT(--(TRIM(IFERROR(_xlfn.TEXTSPLIT(_xlfn.TEXTJOIN(",",TRUE,C35),","),""))&lt;&gt;""))</f>
        <v>4</v>
      </c>
      <c r="E35" s="5" t="str" cm="1">
        <f t="array" ref="E35">_xlfn.TEXTJOIN(", ", TRUE, _xlfn.UNIQUE(_xlfn._xlws.FILTER(Hierarchy!F$2:F$1000, ISNUMBER(MATCH(Hierarchy!$A$2:$A$1000, _xlfn.TEXTSPLIT($C35,", "),0)), "")))</f>
        <v>MO</v>
      </c>
      <c r="F35" t="str" cm="1">
        <f t="array" ref="F35">_xlfn.TEXTJOIN(", ", TRUE, _xlfn.UNIQUE(_xlfn._xlws.FILTER(Hierarchy!H$2:H$1000, ISNUMBER(MATCH(Hierarchy!$A$2:$A$1000, _xlfn.TEXTSPLIT($C35,", "),0)), "")))</f>
        <v>MO</v>
      </c>
      <c r="G35" t="str" cm="1">
        <f t="array" ref="G35">_xlfn.TEXTJOIN(", ", TRUE, _xlfn.UNIQUE(_xlfn._xlws.FILTER(Hierarchy!C$2:C$1000, ISNUMBER(MATCH(Hierarchy!$A$2:$A$1000, _xlfn.TEXTSPLIT($C35,", "),0)), "")))</f>
        <v>MISO</v>
      </c>
      <c r="H35" s="1" cm="1">
        <f t="array" ref="H35">SUMPRODUCT((ISNUMBER(MATCH(Hierarchy!A$2:A$1000, _xlfn.TEXTSPLIT(C35,", "),0)))*Hierarchy!O$2:O$1000)</f>
        <v>3575993</v>
      </c>
      <c r="I35" cm="1">
        <f t="array" ref="I35">COUNTA(_xlfn.UNIQUE(_xlfn._xlws.FILTER(Hierarchy!B$2:B$1000, ISNUMBER(MATCH(Hierarchy!$A$2:$A$1000, _xlfn.TEXTSPLIT($C35,", "),0)), "")))</f>
        <v>1</v>
      </c>
      <c r="J35" cm="1">
        <f t="array" ref="J35">COUNTA(_xlfn.UNIQUE(_xlfn._xlws.FILTER(Hierarchy!C$2:C$1000, ISNUMBER(MATCH(Hierarchy!$A$2:$A$1000, _xlfn.TEXTSPLIT($C35,", "),0)), "")))</f>
        <v>1</v>
      </c>
      <c r="K35" cm="1">
        <f t="array" ref="K35">COUNTA(_xlfn.UNIQUE(_xlfn._xlws.FILTER(Hierarchy!D$2:D$1000, ISNUMBER(MATCH(Hierarchy!$A$2:$A$1000, _xlfn.TEXTSPLIT($C35,", "),0)), "")))</f>
        <v>1</v>
      </c>
      <c r="L35" cm="1">
        <f t="array" ref="L35">COUNTA(_xlfn.UNIQUE(_xlfn._xlws.FILTER(Hierarchy!E$2:E$1000, ISNUMBER(MATCH(Hierarchy!$A$2:$A$1000, _xlfn.TEXTSPLIT($C35,", "),0)), "")))</f>
        <v>1</v>
      </c>
      <c r="M35" cm="1">
        <f t="array" ref="M35">COUNTA(_xlfn.UNIQUE(_xlfn._xlws.FILTER(Hierarchy!F$2:F$1000, ISNUMBER(MATCH(Hierarchy!$A$2:$A$1000, _xlfn.TEXTSPLIT($C35,", "),0)), "")))</f>
        <v>1</v>
      </c>
      <c r="N35" cm="1">
        <f t="array" ref="N35">COUNTA(_xlfn.UNIQUE(_xlfn._xlws.FILTER(Hierarchy!G$2:G$1000, ISNUMBER(MATCH(Hierarchy!$A$2:$A$1000, _xlfn.TEXTSPLIT($C35,", "),0)), "")))</f>
        <v>1</v>
      </c>
      <c r="O35" cm="1">
        <f t="array" ref="O35">COUNTA(_xlfn.UNIQUE(_xlfn._xlws.FILTER(Hierarchy!H$2:H$1000, ISNUMBER(MATCH(Hierarchy!$A$2:$A$1000, _xlfn.TEXTSPLIT($C35,", "),0)), "")))</f>
        <v>1</v>
      </c>
      <c r="P35" cm="1">
        <f t="array" ref="P35">COUNTA(_xlfn.UNIQUE(_xlfn._xlws.FILTER(Hierarchy!I$2:I$1000, ISNUMBER(MATCH(Hierarchy!$A$2:$A$1000, _xlfn.TEXTSPLIT($C35,", "),0)), "")))</f>
        <v>1</v>
      </c>
      <c r="Q35" cm="1">
        <f t="array" ref="Q35">COUNTA(_xlfn.UNIQUE(_xlfn._xlws.FILTER(Hierarchy!J$2:J$1000, ISNUMBER(MATCH(Hierarchy!$A$2:$A$1000, _xlfn.TEXTSPLIT($C35,", "),0)), "")))</f>
        <v>1</v>
      </c>
      <c r="R35" cm="1">
        <f t="array" ref="R35">COUNTA(_xlfn.UNIQUE(_xlfn._xlws.FILTER(Hierarchy!K$2:K$1000, ISNUMBER(MATCH(Hierarchy!$A$2:$A$1000, _xlfn.TEXTSPLIT($C35,", "),0)), "")))</f>
        <v>1</v>
      </c>
      <c r="S35" cm="1">
        <f t="array" ref="S35">COUNTA(_xlfn.UNIQUE(_xlfn._xlws.FILTER(Hierarchy!L$2:L$1000, ISNUMBER(MATCH(Hierarchy!$A$2:$A$1000, _xlfn.TEXTSPLIT($C35,", "),0)), "")))</f>
        <v>1</v>
      </c>
    </row>
    <row r="36" spans="1:19" x14ac:dyDescent="0.2">
      <c r="A36" t="str">
        <f t="shared" si="0"/>
        <v>n_KY</v>
      </c>
      <c r="B36" t="s">
        <v>368</v>
      </c>
      <c r="C36" s="9" t="s">
        <v>324</v>
      </c>
      <c r="D36" cm="1">
        <f t="array" ref="D36">SUMPRODUCT(--(TRIM(IFERROR(_xlfn.TEXTSPLIT(_xlfn.TEXTJOIN(",",TRUE,C36),","),""))&lt;&gt;""))</f>
        <v>2</v>
      </c>
      <c r="E36" s="5" t="str" cm="1">
        <f t="array" ref="E36">_xlfn.TEXTJOIN(", ", TRUE, _xlfn.UNIQUE(_xlfn._xlws.FILTER(Hierarchy!F$2:F$1000, ISNUMBER(MATCH(Hierarchy!$A$2:$A$1000, _xlfn.TEXTSPLIT($C36,", "),0)), "")))</f>
        <v>KY</v>
      </c>
      <c r="F36" t="str" cm="1">
        <f t="array" ref="F36">_xlfn.TEXTJOIN(", ", TRUE, _xlfn.UNIQUE(_xlfn._xlws.FILTER(Hierarchy!H$2:H$1000, ISNUMBER(MATCH(Hierarchy!$A$2:$A$1000, _xlfn.TEXTSPLIT($C36,", "),0)), "")))</f>
        <v>KY</v>
      </c>
      <c r="G36" t="str" cm="1">
        <f t="array" ref="G36">_xlfn.TEXTJOIN(", ", TRUE, _xlfn.UNIQUE(_xlfn._xlws.FILTER(Hierarchy!C$2:C$1000, ISNUMBER(MATCH(Hierarchy!$A$2:$A$1000, _xlfn.TEXTSPLIT($C36,", "),0)), "")))</f>
        <v>PJM</v>
      </c>
      <c r="H36" s="1" cm="1">
        <f t="array" ref="H36">SUMPRODUCT((ISNUMBER(MATCH(Hierarchy!A$2:A$1000, _xlfn.TEXTSPLIT(C36,", "),0)))*Hierarchy!O$2:O$1000)</f>
        <v>3521604</v>
      </c>
      <c r="I36" cm="1">
        <f t="array" ref="I36">COUNTA(_xlfn.UNIQUE(_xlfn._xlws.FILTER(Hierarchy!B$2:B$1000, ISNUMBER(MATCH(Hierarchy!$A$2:$A$1000, _xlfn.TEXTSPLIT($C36,", "),0)), "")))</f>
        <v>1</v>
      </c>
      <c r="J36" cm="1">
        <f t="array" ref="J36">COUNTA(_xlfn.UNIQUE(_xlfn._xlws.FILTER(Hierarchy!C$2:C$1000, ISNUMBER(MATCH(Hierarchy!$A$2:$A$1000, _xlfn.TEXTSPLIT($C36,", "),0)), "")))</f>
        <v>1</v>
      </c>
      <c r="K36" cm="1">
        <f t="array" ref="K36">COUNTA(_xlfn.UNIQUE(_xlfn._xlws.FILTER(Hierarchy!D$2:D$1000, ISNUMBER(MATCH(Hierarchy!$A$2:$A$1000, _xlfn.TEXTSPLIT($C36,", "),0)), "")))</f>
        <v>1</v>
      </c>
      <c r="L36" cm="1">
        <f t="array" ref="L36">COUNTA(_xlfn.UNIQUE(_xlfn._xlws.FILTER(Hierarchy!E$2:E$1000, ISNUMBER(MATCH(Hierarchy!$A$2:$A$1000, _xlfn.TEXTSPLIT($C36,", "),0)), "")))</f>
        <v>1</v>
      </c>
      <c r="M36" cm="1">
        <f t="array" ref="M36">COUNTA(_xlfn.UNIQUE(_xlfn._xlws.FILTER(Hierarchy!F$2:F$1000, ISNUMBER(MATCH(Hierarchy!$A$2:$A$1000, _xlfn.TEXTSPLIT($C36,", "),0)), "")))</f>
        <v>1</v>
      </c>
      <c r="N36" cm="1">
        <f t="array" ref="N36">COUNTA(_xlfn.UNIQUE(_xlfn._xlws.FILTER(Hierarchy!G$2:G$1000, ISNUMBER(MATCH(Hierarchy!$A$2:$A$1000, _xlfn.TEXTSPLIT($C36,", "),0)), "")))</f>
        <v>1</v>
      </c>
      <c r="O36" cm="1">
        <f t="array" ref="O36">COUNTA(_xlfn.UNIQUE(_xlfn._xlws.FILTER(Hierarchy!H$2:H$1000, ISNUMBER(MATCH(Hierarchy!$A$2:$A$1000, _xlfn.TEXTSPLIT($C36,", "),0)), "")))</f>
        <v>1</v>
      </c>
      <c r="P36" cm="1">
        <f t="array" ref="P36">COUNTA(_xlfn.UNIQUE(_xlfn._xlws.FILTER(Hierarchy!I$2:I$1000, ISNUMBER(MATCH(Hierarchy!$A$2:$A$1000, _xlfn.TEXTSPLIT($C36,", "),0)), "")))</f>
        <v>1</v>
      </c>
      <c r="Q36" cm="1">
        <f t="array" ref="Q36">COUNTA(_xlfn.UNIQUE(_xlfn._xlws.FILTER(Hierarchy!J$2:J$1000, ISNUMBER(MATCH(Hierarchy!$A$2:$A$1000, _xlfn.TEXTSPLIT($C36,", "),0)), "")))</f>
        <v>1</v>
      </c>
      <c r="R36" cm="1">
        <f t="array" ref="R36">COUNTA(_xlfn.UNIQUE(_xlfn._xlws.FILTER(Hierarchy!K$2:K$1000, ISNUMBER(MATCH(Hierarchy!$A$2:$A$1000, _xlfn.TEXTSPLIT($C36,", "),0)), "")))</f>
        <v>1</v>
      </c>
      <c r="S36" cm="1">
        <f t="array" ref="S36">COUNTA(_xlfn.UNIQUE(_xlfn._xlws.FILTER(Hierarchy!L$2:L$1000, ISNUMBER(MATCH(Hierarchy!$A$2:$A$1000, _xlfn.TEXTSPLIT($C36,", "),0)), "")))</f>
        <v>1</v>
      </c>
    </row>
    <row r="37" spans="1:19" x14ac:dyDescent="0.2">
      <c r="A37" t="str">
        <f t="shared" si="0"/>
        <v>ID_and_w_MT_and_w_WY</v>
      </c>
      <c r="B37" t="s">
        <v>369</v>
      </c>
      <c r="C37" t="s">
        <v>314</v>
      </c>
      <c r="D37" cm="1">
        <f t="array" ref="D37">SUMPRODUCT(--(TRIM(IFERROR(_xlfn.TEXTSPLIT(_xlfn.TEXTJOIN(",",TRUE,C37),","),""))&lt;&gt;""))</f>
        <v>9</v>
      </c>
      <c r="E37" s="5" t="str" cm="1">
        <f t="array" ref="E37">_xlfn.TEXTJOIN(", ", TRUE, _xlfn.UNIQUE(_xlfn._xlws.FILTER(Hierarchy!F$2:F$1000, ISNUMBER(MATCH(Hierarchy!$A$2:$A$1000, _xlfn.TEXTSPLIT($C37,", "),0)), "")))</f>
        <v>ID, MT, WY</v>
      </c>
      <c r="F37" t="str" cm="1">
        <f t="array" ref="F37">_xlfn.TEXTJOIN(", ", TRUE, _xlfn.UNIQUE(_xlfn._xlws.FILTER(Hierarchy!H$2:H$1000, ISNUMBER(MATCH(Hierarchy!$A$2:$A$1000, _xlfn.TEXTSPLIT($C37,", "),0)), "")))</f>
        <v>ID, MT_western, WY</v>
      </c>
      <c r="G37" t="str" cm="1">
        <f t="array" ref="G37">_xlfn.TEXTJOIN(", ", TRUE, _xlfn.UNIQUE(_xlfn._xlws.FILTER(Hierarchy!C$2:C$1000, ISNUMBER(MATCH(Hierarchy!$A$2:$A$1000, _xlfn.TEXTSPLIT($C37,", "),0)), "")))</f>
        <v>NorthernGrid</v>
      </c>
      <c r="H37" s="1" cm="1">
        <f t="array" ref="H37">SUMPRODUCT((ISNUMBER(MATCH(Hierarchy!A$2:A$1000, _xlfn.TEXTSPLIT(C37,", "),0)))*Hierarchy!O$2:O$1000)</f>
        <v>3335860</v>
      </c>
      <c r="I37" cm="1">
        <f t="array" ref="I37">COUNTA(_xlfn.UNIQUE(_xlfn._xlws.FILTER(Hierarchy!B$2:B$1000, ISNUMBER(MATCH(Hierarchy!$A$2:$A$1000, _xlfn.TEXTSPLIT($C37,", "),0)), "")))</f>
        <v>1</v>
      </c>
      <c r="J37" cm="1">
        <f t="array" ref="J37">COUNTA(_xlfn.UNIQUE(_xlfn._xlws.FILTER(Hierarchy!C$2:C$1000, ISNUMBER(MATCH(Hierarchy!$A$2:$A$1000, _xlfn.TEXTSPLIT($C37,", "),0)), "")))</f>
        <v>1</v>
      </c>
      <c r="K37" cm="1">
        <f t="array" ref="K37">COUNTA(_xlfn.UNIQUE(_xlfn._xlws.FILTER(Hierarchy!D$2:D$1000, ISNUMBER(MATCH(Hierarchy!$A$2:$A$1000, _xlfn.TEXTSPLIT($C37,", "),0)), "")))</f>
        <v>1</v>
      </c>
      <c r="L37" cm="1">
        <f t="array" ref="L37">COUNTA(_xlfn.UNIQUE(_xlfn._xlws.FILTER(Hierarchy!E$2:E$1000, ISNUMBER(MATCH(Hierarchy!$A$2:$A$1000, _xlfn.TEXTSPLIT($C37,", "),0)), "")))</f>
        <v>1</v>
      </c>
      <c r="M37" cm="1">
        <f t="array" ref="M37">COUNTA(_xlfn.UNIQUE(_xlfn._xlws.FILTER(Hierarchy!F$2:F$1000, ISNUMBER(MATCH(Hierarchy!$A$2:$A$1000, _xlfn.TEXTSPLIT($C37,", "),0)), "")))</f>
        <v>3</v>
      </c>
      <c r="N37" cm="1">
        <f t="array" ref="N37">COUNTA(_xlfn.UNIQUE(_xlfn._xlws.FILTER(Hierarchy!G$2:G$1000, ISNUMBER(MATCH(Hierarchy!$A$2:$A$1000, _xlfn.TEXTSPLIT($C37,", "),0)), "")))</f>
        <v>1</v>
      </c>
      <c r="O37" cm="1">
        <f t="array" ref="O37">COUNTA(_xlfn.UNIQUE(_xlfn._xlws.FILTER(Hierarchy!H$2:H$1000, ISNUMBER(MATCH(Hierarchy!$A$2:$A$1000, _xlfn.TEXTSPLIT($C37,", "),0)), "")))</f>
        <v>3</v>
      </c>
      <c r="P37" cm="1">
        <f t="array" ref="P37">COUNTA(_xlfn.UNIQUE(_xlfn._xlws.FILTER(Hierarchy!I$2:I$1000, ISNUMBER(MATCH(Hierarchy!$A$2:$A$1000, _xlfn.TEXTSPLIT($C37,", "),0)), "")))</f>
        <v>1</v>
      </c>
      <c r="Q37" cm="1">
        <f t="array" ref="Q37">COUNTA(_xlfn.UNIQUE(_xlfn._xlws.FILTER(Hierarchy!J$2:J$1000, ISNUMBER(MATCH(Hierarchy!$A$2:$A$1000, _xlfn.TEXTSPLIT($C37,", "),0)), "")))</f>
        <v>1</v>
      </c>
      <c r="R37" cm="1">
        <f t="array" ref="R37">COUNTA(_xlfn.UNIQUE(_xlfn._xlws.FILTER(Hierarchy!K$2:K$1000, ISNUMBER(MATCH(Hierarchy!$A$2:$A$1000, _xlfn.TEXTSPLIT($C37,", "),0)), "")))</f>
        <v>2</v>
      </c>
      <c r="S37" cm="1">
        <f t="array" ref="S37">COUNTA(_xlfn.UNIQUE(_xlfn._xlws.FILTER(Hierarchy!L$2:L$1000, ISNUMBER(MATCH(Hierarchy!$A$2:$A$1000, _xlfn.TEXTSPLIT($C37,", "),0)), "")))</f>
        <v>5</v>
      </c>
    </row>
    <row r="38" spans="1:19" x14ac:dyDescent="0.2">
      <c r="A38" t="str">
        <f t="shared" si="0"/>
        <v>San_Diego</v>
      </c>
      <c r="B38" t="s">
        <v>339</v>
      </c>
      <c r="C38" t="s">
        <v>43</v>
      </c>
      <c r="D38" cm="1">
        <f t="array" ref="D38">SUMPRODUCT(--(TRIM(IFERROR(_xlfn.TEXTSPLIT(_xlfn.TEXTJOIN(",",TRUE,C38),","),""))&lt;&gt;""))</f>
        <v>1</v>
      </c>
      <c r="E38" s="5" t="str" cm="1">
        <f t="array" ref="E38">_xlfn.TEXTJOIN(", ", TRUE, _xlfn.UNIQUE(_xlfn._xlws.FILTER(Hierarchy!F$2:F$1000, ISNUMBER(MATCH(Hierarchy!$A$2:$A$1000, _xlfn.TEXTSPLIT($C38,", "),0)), "")))</f>
        <v>CA</v>
      </c>
      <c r="F38" t="str" cm="1">
        <f t="array" ref="F38">_xlfn.TEXTJOIN(", ", TRUE, _xlfn.UNIQUE(_xlfn._xlws.FILTER(Hierarchy!H$2:H$1000, ISNUMBER(MATCH(Hierarchy!$A$2:$A$1000, _xlfn.TEXTSPLIT($C38,", "),0)), "")))</f>
        <v>CA</v>
      </c>
      <c r="G38" t="str" cm="1">
        <f t="array" ref="G38">_xlfn.TEXTJOIN(", ", TRUE, _xlfn.UNIQUE(_xlfn._xlws.FILTER(Hierarchy!C$2:C$1000, ISNUMBER(MATCH(Hierarchy!$A$2:$A$1000, _xlfn.TEXTSPLIT($C38,", "),0)), "")))</f>
        <v>CAISO</v>
      </c>
      <c r="H38" s="1" cm="1">
        <f t="array" ref="H38">SUMPRODUCT((ISNUMBER(MATCH(Hierarchy!A$2:A$1000, _xlfn.TEXTSPLIT(C38,", "),0)))*Hierarchy!O$2:O$1000)</f>
        <v>3298799</v>
      </c>
      <c r="I38" cm="1">
        <f t="array" ref="I38">COUNTA(_xlfn.UNIQUE(_xlfn._xlws.FILTER(Hierarchy!B$2:B$1000, ISNUMBER(MATCH(Hierarchy!$A$2:$A$1000, _xlfn.TEXTSPLIT($C38,", "),0)), "")))</f>
        <v>1</v>
      </c>
      <c r="J38" cm="1">
        <f t="array" ref="J38">COUNTA(_xlfn.UNIQUE(_xlfn._xlws.FILTER(Hierarchy!C$2:C$1000, ISNUMBER(MATCH(Hierarchy!$A$2:$A$1000, _xlfn.TEXTSPLIT($C38,", "),0)), "")))</f>
        <v>1</v>
      </c>
      <c r="K38" cm="1">
        <f t="array" ref="K38">COUNTA(_xlfn.UNIQUE(_xlfn._xlws.FILTER(Hierarchy!D$2:D$1000, ISNUMBER(MATCH(Hierarchy!$A$2:$A$1000, _xlfn.TEXTSPLIT($C38,", "),0)), "")))</f>
        <v>1</v>
      </c>
      <c r="L38" cm="1">
        <f t="array" ref="L38">COUNTA(_xlfn.UNIQUE(_xlfn._xlws.FILTER(Hierarchy!E$2:E$1000, ISNUMBER(MATCH(Hierarchy!$A$2:$A$1000, _xlfn.TEXTSPLIT($C38,", "),0)), "")))</f>
        <v>1</v>
      </c>
      <c r="M38" cm="1">
        <f t="array" ref="M38">COUNTA(_xlfn.UNIQUE(_xlfn._xlws.FILTER(Hierarchy!F$2:F$1000, ISNUMBER(MATCH(Hierarchy!$A$2:$A$1000, _xlfn.TEXTSPLIT($C38,", "),0)), "")))</f>
        <v>1</v>
      </c>
      <c r="N38" cm="1">
        <f t="array" ref="N38">COUNTA(_xlfn.UNIQUE(_xlfn._xlws.FILTER(Hierarchy!G$2:G$1000, ISNUMBER(MATCH(Hierarchy!$A$2:$A$1000, _xlfn.TEXTSPLIT($C38,", "),0)), "")))</f>
        <v>1</v>
      </c>
      <c r="O38" cm="1">
        <f t="array" ref="O38">COUNTA(_xlfn.UNIQUE(_xlfn._xlws.FILTER(Hierarchy!H$2:H$1000, ISNUMBER(MATCH(Hierarchy!$A$2:$A$1000, _xlfn.TEXTSPLIT($C38,", "),0)), "")))</f>
        <v>1</v>
      </c>
      <c r="P38" cm="1">
        <f t="array" ref="P38">COUNTA(_xlfn.UNIQUE(_xlfn._xlws.FILTER(Hierarchy!I$2:I$1000, ISNUMBER(MATCH(Hierarchy!$A$2:$A$1000, _xlfn.TEXTSPLIT($C38,", "),0)), "")))</f>
        <v>1</v>
      </c>
      <c r="Q38" cm="1">
        <f t="array" ref="Q38">COUNTA(_xlfn.UNIQUE(_xlfn._xlws.FILTER(Hierarchy!J$2:J$1000, ISNUMBER(MATCH(Hierarchy!$A$2:$A$1000, _xlfn.TEXTSPLIT($C38,", "),0)), "")))</f>
        <v>1</v>
      </c>
      <c r="R38" cm="1">
        <f t="array" ref="R38">COUNTA(_xlfn.UNIQUE(_xlfn._xlws.FILTER(Hierarchy!K$2:K$1000, ISNUMBER(MATCH(Hierarchy!$A$2:$A$1000, _xlfn.TEXTSPLIT($C38,", "),0)), "")))</f>
        <v>1</v>
      </c>
      <c r="S38" cm="1">
        <f t="array" ref="S38">COUNTA(_xlfn.UNIQUE(_xlfn._xlws.FILTER(Hierarchy!L$2:L$1000, ISNUMBER(MATCH(Hierarchy!$A$2:$A$1000, _xlfn.TEXTSPLIT($C38,", "),0)), "")))</f>
        <v>1</v>
      </c>
    </row>
    <row r="39" spans="1:19" x14ac:dyDescent="0.2">
      <c r="A39" t="str">
        <f t="shared" si="0"/>
        <v>IA</v>
      </c>
      <c r="B39" t="s">
        <v>124</v>
      </c>
      <c r="C39" t="s">
        <v>336</v>
      </c>
      <c r="D39" cm="1">
        <f t="array" ref="D39">SUMPRODUCT(--(TRIM(IFERROR(_xlfn.TEXTSPLIT(_xlfn.TEXTJOIN(",",TRUE,C39),","),""))&lt;&gt;""))</f>
        <v>3</v>
      </c>
      <c r="E39" s="5" t="str" cm="1">
        <f t="array" ref="E39">_xlfn.TEXTJOIN(", ", TRUE, _xlfn.UNIQUE(_xlfn._xlws.FILTER(Hierarchy!F$2:F$1000, ISNUMBER(MATCH(Hierarchy!$A$2:$A$1000, _xlfn.TEXTSPLIT($C39,", "),0)), "")))</f>
        <v>IA</v>
      </c>
      <c r="F39" t="str" cm="1">
        <f t="array" ref="F39">_xlfn.TEXTJOIN(", ", TRUE, _xlfn.UNIQUE(_xlfn._xlws.FILTER(Hierarchy!H$2:H$1000, ISNUMBER(MATCH(Hierarchy!$A$2:$A$1000, _xlfn.TEXTSPLIT($C39,", "),0)), "")))</f>
        <v>IA</v>
      </c>
      <c r="G39" t="str" cm="1">
        <f t="array" ref="G39">_xlfn.TEXTJOIN(", ", TRUE, _xlfn.UNIQUE(_xlfn._xlws.FILTER(Hierarchy!C$2:C$1000, ISNUMBER(MATCH(Hierarchy!$A$2:$A$1000, _xlfn.TEXTSPLIT($C39,", "),0)), "")))</f>
        <v>MISO</v>
      </c>
      <c r="H39" s="1" cm="1">
        <f t="array" ref="H39">SUMPRODUCT((ISNUMBER(MATCH(Hierarchy!A$2:A$1000, _xlfn.TEXTSPLIT(C39,", "),0)))*Hierarchy!O$2:O$1000)</f>
        <v>3241488</v>
      </c>
      <c r="I39" cm="1">
        <f t="array" ref="I39">COUNTA(_xlfn.UNIQUE(_xlfn._xlws.FILTER(Hierarchy!B$2:B$1000, ISNUMBER(MATCH(Hierarchy!$A$2:$A$1000, _xlfn.TEXTSPLIT($C39,", "),0)), "")))</f>
        <v>1</v>
      </c>
      <c r="J39" cm="1">
        <f t="array" ref="J39">COUNTA(_xlfn.UNIQUE(_xlfn._xlws.FILTER(Hierarchy!C$2:C$1000, ISNUMBER(MATCH(Hierarchy!$A$2:$A$1000, _xlfn.TEXTSPLIT($C39,", "),0)), "")))</f>
        <v>1</v>
      </c>
      <c r="K39" cm="1">
        <f t="array" ref="K39">COUNTA(_xlfn.UNIQUE(_xlfn._xlws.FILTER(Hierarchy!D$2:D$1000, ISNUMBER(MATCH(Hierarchy!$A$2:$A$1000, _xlfn.TEXTSPLIT($C39,", "),0)), "")))</f>
        <v>1</v>
      </c>
      <c r="L39" cm="1">
        <f t="array" ref="L39">COUNTA(_xlfn.UNIQUE(_xlfn._xlws.FILTER(Hierarchy!E$2:E$1000, ISNUMBER(MATCH(Hierarchy!$A$2:$A$1000, _xlfn.TEXTSPLIT($C39,", "),0)), "")))</f>
        <v>1</v>
      </c>
      <c r="M39" cm="1">
        <f t="array" ref="M39">COUNTA(_xlfn.UNIQUE(_xlfn._xlws.FILTER(Hierarchy!F$2:F$1000, ISNUMBER(MATCH(Hierarchy!$A$2:$A$1000, _xlfn.TEXTSPLIT($C39,", "),0)), "")))</f>
        <v>1</v>
      </c>
      <c r="N39" cm="1">
        <f t="array" ref="N39">COUNTA(_xlfn.UNIQUE(_xlfn._xlws.FILTER(Hierarchy!G$2:G$1000, ISNUMBER(MATCH(Hierarchy!$A$2:$A$1000, _xlfn.TEXTSPLIT($C39,", "),0)), "")))</f>
        <v>1</v>
      </c>
      <c r="O39" cm="1">
        <f t="array" ref="O39">COUNTA(_xlfn.UNIQUE(_xlfn._xlws.FILTER(Hierarchy!H$2:H$1000, ISNUMBER(MATCH(Hierarchy!$A$2:$A$1000, _xlfn.TEXTSPLIT($C39,", "),0)), "")))</f>
        <v>1</v>
      </c>
      <c r="P39" cm="1">
        <f t="array" ref="P39">COUNTA(_xlfn.UNIQUE(_xlfn._xlws.FILTER(Hierarchy!I$2:I$1000, ISNUMBER(MATCH(Hierarchy!$A$2:$A$1000, _xlfn.TEXTSPLIT($C39,", "),0)), "")))</f>
        <v>1</v>
      </c>
      <c r="Q39" cm="1">
        <f t="array" ref="Q39">COUNTA(_xlfn.UNIQUE(_xlfn._xlws.FILTER(Hierarchy!J$2:J$1000, ISNUMBER(MATCH(Hierarchy!$A$2:$A$1000, _xlfn.TEXTSPLIT($C39,", "),0)), "")))</f>
        <v>1</v>
      </c>
      <c r="R39" cm="1">
        <f t="array" ref="R39">COUNTA(_xlfn.UNIQUE(_xlfn._xlws.FILTER(Hierarchy!K$2:K$1000, ISNUMBER(MATCH(Hierarchy!$A$2:$A$1000, _xlfn.TEXTSPLIT($C39,", "),0)), "")))</f>
        <v>1</v>
      </c>
      <c r="S39" cm="1">
        <f t="array" ref="S39">COUNTA(_xlfn.UNIQUE(_xlfn._xlws.FILTER(Hierarchy!L$2:L$1000, ISNUMBER(MATCH(Hierarchy!$A$2:$A$1000, _xlfn.TEXTSPLIT($C39,", "),0)), "")))</f>
        <v>1</v>
      </c>
    </row>
    <row r="40" spans="1:19" x14ac:dyDescent="0.2">
      <c r="A40" t="str">
        <f t="shared" si="0"/>
        <v>IL_no_Chicago</v>
      </c>
      <c r="B40" t="s">
        <v>370</v>
      </c>
      <c r="C40" t="s">
        <v>333</v>
      </c>
      <c r="D40" cm="1">
        <f t="array" ref="D40">SUMPRODUCT(--(TRIM(IFERROR(_xlfn.TEXTSPLIT(_xlfn.TEXTJOIN(",",TRUE,C40),","),""))&lt;&gt;""))</f>
        <v>3</v>
      </c>
      <c r="E40" s="5" t="str" cm="1">
        <f t="array" ref="E40">_xlfn.TEXTJOIN(", ", TRUE, _xlfn.UNIQUE(_xlfn._xlws.FILTER(Hierarchy!F$2:F$1000, ISNUMBER(MATCH(Hierarchy!$A$2:$A$1000, _xlfn.TEXTSPLIT($C40,", "),0)), "")))</f>
        <v>IL</v>
      </c>
      <c r="F40" t="str" cm="1">
        <f t="array" ref="F40">_xlfn.TEXTJOIN(", ", TRUE, _xlfn.UNIQUE(_xlfn._xlws.FILTER(Hierarchy!H$2:H$1000, ISNUMBER(MATCH(Hierarchy!$A$2:$A$1000, _xlfn.TEXTSPLIT($C40,", "),0)), "")))</f>
        <v>IL</v>
      </c>
      <c r="G40" t="str" cm="1">
        <f t="array" ref="G40">_xlfn.TEXTJOIN(", ", TRUE, _xlfn.UNIQUE(_xlfn._xlws.FILTER(Hierarchy!C$2:C$1000, ISNUMBER(MATCH(Hierarchy!$A$2:$A$1000, _xlfn.TEXTSPLIT($C40,", "),0)), "")))</f>
        <v>MISO</v>
      </c>
      <c r="H40" s="1" cm="1">
        <f t="array" ref="H40">SUMPRODUCT((ISNUMBER(MATCH(Hierarchy!A$2:A$1000, _xlfn.TEXTSPLIT(C40,", "),0)))*Hierarchy!O$2:O$1000)</f>
        <v>3221031</v>
      </c>
      <c r="I40" cm="1">
        <f t="array" ref="I40">COUNTA(_xlfn.UNIQUE(_xlfn._xlws.FILTER(Hierarchy!B$2:B$1000, ISNUMBER(MATCH(Hierarchy!$A$2:$A$1000, _xlfn.TEXTSPLIT($C40,", "),0)), "")))</f>
        <v>1</v>
      </c>
      <c r="J40" cm="1">
        <f t="array" ref="J40">COUNTA(_xlfn.UNIQUE(_xlfn._xlws.FILTER(Hierarchy!C$2:C$1000, ISNUMBER(MATCH(Hierarchy!$A$2:$A$1000, _xlfn.TEXTSPLIT($C40,", "),0)), "")))</f>
        <v>1</v>
      </c>
      <c r="K40" cm="1">
        <f t="array" ref="K40">COUNTA(_xlfn.UNIQUE(_xlfn._xlws.FILTER(Hierarchy!D$2:D$1000, ISNUMBER(MATCH(Hierarchy!$A$2:$A$1000, _xlfn.TEXTSPLIT($C40,", "),0)), "")))</f>
        <v>1</v>
      </c>
      <c r="L40" cm="1">
        <f t="array" ref="L40">COUNTA(_xlfn.UNIQUE(_xlfn._xlws.FILTER(Hierarchy!E$2:E$1000, ISNUMBER(MATCH(Hierarchy!$A$2:$A$1000, _xlfn.TEXTSPLIT($C40,", "),0)), "")))</f>
        <v>1</v>
      </c>
      <c r="M40" cm="1">
        <f t="array" ref="M40">COUNTA(_xlfn.UNIQUE(_xlfn._xlws.FILTER(Hierarchy!F$2:F$1000, ISNUMBER(MATCH(Hierarchy!$A$2:$A$1000, _xlfn.TEXTSPLIT($C40,", "),0)), "")))</f>
        <v>1</v>
      </c>
      <c r="N40" cm="1">
        <f t="array" ref="N40">COUNTA(_xlfn.UNIQUE(_xlfn._xlws.FILTER(Hierarchy!G$2:G$1000, ISNUMBER(MATCH(Hierarchy!$A$2:$A$1000, _xlfn.TEXTSPLIT($C40,", "),0)), "")))</f>
        <v>1</v>
      </c>
      <c r="O40" cm="1">
        <f t="array" ref="O40">COUNTA(_xlfn.UNIQUE(_xlfn._xlws.FILTER(Hierarchy!H$2:H$1000, ISNUMBER(MATCH(Hierarchy!$A$2:$A$1000, _xlfn.TEXTSPLIT($C40,", "),0)), "")))</f>
        <v>1</v>
      </c>
      <c r="P40" cm="1">
        <f t="array" ref="P40">COUNTA(_xlfn.UNIQUE(_xlfn._xlws.FILTER(Hierarchy!I$2:I$1000, ISNUMBER(MATCH(Hierarchy!$A$2:$A$1000, _xlfn.TEXTSPLIT($C40,", "),0)), "")))</f>
        <v>1</v>
      </c>
      <c r="Q40" cm="1">
        <f t="array" ref="Q40">COUNTA(_xlfn.UNIQUE(_xlfn._xlws.FILTER(Hierarchy!J$2:J$1000, ISNUMBER(MATCH(Hierarchy!$A$2:$A$1000, _xlfn.TEXTSPLIT($C40,", "),0)), "")))</f>
        <v>1</v>
      </c>
      <c r="R40" cm="1">
        <f t="array" ref="R40">COUNTA(_xlfn.UNIQUE(_xlfn._xlws.FILTER(Hierarchy!K$2:K$1000, ISNUMBER(MATCH(Hierarchy!$A$2:$A$1000, _xlfn.TEXTSPLIT($C40,", "),0)), "")))</f>
        <v>1</v>
      </c>
      <c r="S40" cm="1">
        <f t="array" ref="S40">COUNTA(_xlfn.UNIQUE(_xlfn._xlws.FILTER(Hierarchy!L$2:L$1000, ISNUMBER(MATCH(Hierarchy!$A$2:$A$1000, _xlfn.TEXTSPLIT($C40,", "),0)), "")))</f>
        <v>1</v>
      </c>
    </row>
    <row r="41" spans="1:19" x14ac:dyDescent="0.2">
      <c r="A41" t="str">
        <f t="shared" si="0"/>
        <v>NE_and_e_SD_and_w_ND_and_e_MT</v>
      </c>
      <c r="B41" t="s">
        <v>371</v>
      </c>
      <c r="C41" t="s">
        <v>335</v>
      </c>
      <c r="D41" cm="1">
        <f t="array" ref="D41">SUMPRODUCT(--(TRIM(IFERROR(_xlfn.TEXTSPLIT(_xlfn.TEXTJOIN(",",TRUE,C41),","),""))&lt;&gt;""))</f>
        <v>6</v>
      </c>
      <c r="E41" s="5" t="str" cm="1">
        <f t="array" ref="E41">_xlfn.TEXTJOIN(", ", TRUE, _xlfn.UNIQUE(_xlfn._xlws.FILTER(Hierarchy!F$2:F$1000, ISNUMBER(MATCH(Hierarchy!$A$2:$A$1000, _xlfn.TEXTSPLIT($C41,", "),0)), "")))</f>
        <v>MT, ND, SD, NE</v>
      </c>
      <c r="F41" t="str" cm="1">
        <f t="array" ref="F41">_xlfn.TEXTJOIN(", ", TRUE, _xlfn.UNIQUE(_xlfn._xlws.FILTER(Hierarchy!H$2:H$1000, ISNUMBER(MATCH(Hierarchy!$A$2:$A$1000, _xlfn.TEXTSPLIT($C41,", "),0)), "")))</f>
        <v>MT_eastern, ND, SD_eastern, NE</v>
      </c>
      <c r="G41" t="str" cm="1">
        <f t="array" ref="G41">_xlfn.TEXTJOIN(", ", TRUE, _xlfn.UNIQUE(_xlfn._xlws.FILTER(Hierarchy!C$2:C$1000, ISNUMBER(MATCH(Hierarchy!$A$2:$A$1000, _xlfn.TEXTSPLIT($C41,", "),0)), "")))</f>
        <v>SPP</v>
      </c>
      <c r="H41" s="1" cm="1">
        <f t="array" ref="H41">SUMPRODUCT((ISNUMBER(MATCH(Hierarchy!A$2:A$1000, _xlfn.TEXTSPLIT(C41,", "),0)))*Hierarchy!O$2:O$1000)</f>
        <v>3099250</v>
      </c>
      <c r="I41" cm="1">
        <f t="array" ref="I41">COUNTA(_xlfn.UNIQUE(_xlfn._xlws.FILTER(Hierarchy!B$2:B$1000, ISNUMBER(MATCH(Hierarchy!$A$2:$A$1000, _xlfn.TEXTSPLIT($C41,", "),0)), "")))</f>
        <v>1</v>
      </c>
      <c r="J41" cm="1">
        <f t="array" ref="J41">COUNTA(_xlfn.UNIQUE(_xlfn._xlws.FILTER(Hierarchy!C$2:C$1000, ISNUMBER(MATCH(Hierarchy!$A$2:$A$1000, _xlfn.TEXTSPLIT($C41,", "),0)), "")))</f>
        <v>1</v>
      </c>
      <c r="K41" cm="1">
        <f t="array" ref="K41">COUNTA(_xlfn.UNIQUE(_xlfn._xlws.FILTER(Hierarchy!D$2:D$1000, ISNUMBER(MATCH(Hierarchy!$A$2:$A$1000, _xlfn.TEXTSPLIT($C41,", "),0)), "")))</f>
        <v>1</v>
      </c>
      <c r="L41" cm="1">
        <f t="array" ref="L41">COUNTA(_xlfn.UNIQUE(_xlfn._xlws.FILTER(Hierarchy!E$2:E$1000, ISNUMBER(MATCH(Hierarchy!$A$2:$A$1000, _xlfn.TEXTSPLIT($C41,", "),0)), "")))</f>
        <v>1</v>
      </c>
      <c r="M41" cm="1">
        <f t="array" ref="M41">COUNTA(_xlfn.UNIQUE(_xlfn._xlws.FILTER(Hierarchy!F$2:F$1000, ISNUMBER(MATCH(Hierarchy!$A$2:$A$1000, _xlfn.TEXTSPLIT($C41,", "),0)), "")))</f>
        <v>4</v>
      </c>
      <c r="N41" cm="1">
        <f t="array" ref="N41">COUNTA(_xlfn.UNIQUE(_xlfn._xlws.FILTER(Hierarchy!G$2:G$1000, ISNUMBER(MATCH(Hierarchy!$A$2:$A$1000, _xlfn.TEXTSPLIT($C41,", "),0)), "")))</f>
        <v>1</v>
      </c>
      <c r="O41" cm="1">
        <f t="array" ref="O41">COUNTA(_xlfn.UNIQUE(_xlfn._xlws.FILTER(Hierarchy!H$2:H$1000, ISNUMBER(MATCH(Hierarchy!$A$2:$A$1000, _xlfn.TEXTSPLIT($C41,", "),0)), "")))</f>
        <v>4</v>
      </c>
      <c r="P41" cm="1">
        <f t="array" ref="P41">COUNTA(_xlfn.UNIQUE(_xlfn._xlws.FILTER(Hierarchy!I$2:I$1000, ISNUMBER(MATCH(Hierarchy!$A$2:$A$1000, _xlfn.TEXTSPLIT($C41,", "),0)), "")))</f>
        <v>1</v>
      </c>
      <c r="Q41" cm="1">
        <f t="array" ref="Q41">COUNTA(_xlfn.UNIQUE(_xlfn._xlws.FILTER(Hierarchy!J$2:J$1000, ISNUMBER(MATCH(Hierarchy!$A$2:$A$1000, _xlfn.TEXTSPLIT($C41,", "),0)), "")))</f>
        <v>2</v>
      </c>
      <c r="R41" cm="1">
        <f t="array" ref="R41">COUNTA(_xlfn.UNIQUE(_xlfn._xlws.FILTER(Hierarchy!K$2:K$1000, ISNUMBER(MATCH(Hierarchy!$A$2:$A$1000, _xlfn.TEXTSPLIT($C41,", "),0)), "")))</f>
        <v>2</v>
      </c>
      <c r="S41" cm="1">
        <f t="array" ref="S41">COUNTA(_xlfn.UNIQUE(_xlfn._xlws.FILTER(Hierarchy!L$2:L$1000, ISNUMBER(MATCH(Hierarchy!$A$2:$A$1000, _xlfn.TEXTSPLIT($C41,", "),0)), "")))</f>
        <v>1</v>
      </c>
    </row>
    <row r="42" spans="1:19" x14ac:dyDescent="0.2">
      <c r="A42" t="str">
        <f t="shared" si="0"/>
        <v>New_York_City</v>
      </c>
      <c r="B42" t="s">
        <v>330</v>
      </c>
      <c r="C42" t="s">
        <v>280</v>
      </c>
      <c r="D42" cm="1">
        <f t="array" ref="D42">SUMPRODUCT(--(TRIM(IFERROR(_xlfn.TEXTSPLIT(_xlfn.TEXTJOIN(",",TRUE,C42),","),""))&lt;&gt;""))</f>
        <v>1</v>
      </c>
      <c r="E42" s="5" t="str" cm="1">
        <f t="array" ref="E42">_xlfn.TEXTJOIN(", ", TRUE, _xlfn.UNIQUE(_xlfn._xlws.FILTER(Hierarchy!F$2:F$1000, ISNUMBER(MATCH(Hierarchy!$A$2:$A$1000, _xlfn.TEXTSPLIT($C42,", "),0)), "")))</f>
        <v>NY</v>
      </c>
      <c r="F42" t="str" cm="1">
        <f t="array" ref="F42">_xlfn.TEXTJOIN(", ", TRUE, _xlfn.UNIQUE(_xlfn._xlws.FILTER(Hierarchy!H$2:H$1000, ISNUMBER(MATCH(Hierarchy!$A$2:$A$1000, _xlfn.TEXTSPLIT($C42,", "),0)), "")))</f>
        <v>NY</v>
      </c>
      <c r="G42" t="str" cm="1">
        <f t="array" ref="G42">_xlfn.TEXTJOIN(", ", TRUE, _xlfn.UNIQUE(_xlfn._xlws.FILTER(Hierarchy!C$2:C$1000, ISNUMBER(MATCH(Hierarchy!$A$2:$A$1000, _xlfn.TEXTSPLIT($C42,", "),0)), "")))</f>
        <v>NYISO</v>
      </c>
      <c r="H42" s="1" cm="1">
        <f t="array" ref="H42">SUMPRODUCT((ISNUMBER(MATCH(Hierarchy!A$2:A$1000, _xlfn.TEXTSPLIT(C42,", "),0)))*Hierarchy!O$2:O$1000)</f>
        <v>2928347</v>
      </c>
      <c r="I42" cm="1">
        <f t="array" ref="I42">COUNTA(_xlfn.UNIQUE(_xlfn._xlws.FILTER(Hierarchy!B$2:B$1000, ISNUMBER(MATCH(Hierarchy!$A$2:$A$1000, _xlfn.TEXTSPLIT($C42,", "),0)), "")))</f>
        <v>1</v>
      </c>
      <c r="J42" cm="1">
        <f t="array" ref="J42">COUNTA(_xlfn.UNIQUE(_xlfn._xlws.FILTER(Hierarchy!C$2:C$1000, ISNUMBER(MATCH(Hierarchy!$A$2:$A$1000, _xlfn.TEXTSPLIT($C42,", "),0)), "")))</f>
        <v>1</v>
      </c>
      <c r="K42" cm="1">
        <f t="array" ref="K42">COUNTA(_xlfn.UNIQUE(_xlfn._xlws.FILTER(Hierarchy!D$2:D$1000, ISNUMBER(MATCH(Hierarchy!$A$2:$A$1000, _xlfn.TEXTSPLIT($C42,", "),0)), "")))</f>
        <v>1</v>
      </c>
      <c r="L42" cm="1">
        <f t="array" ref="L42">COUNTA(_xlfn.UNIQUE(_xlfn._xlws.FILTER(Hierarchy!E$2:E$1000, ISNUMBER(MATCH(Hierarchy!$A$2:$A$1000, _xlfn.TEXTSPLIT($C42,", "),0)), "")))</f>
        <v>1</v>
      </c>
      <c r="M42" cm="1">
        <f t="array" ref="M42">COUNTA(_xlfn.UNIQUE(_xlfn._xlws.FILTER(Hierarchy!F$2:F$1000, ISNUMBER(MATCH(Hierarchy!$A$2:$A$1000, _xlfn.TEXTSPLIT($C42,", "),0)), "")))</f>
        <v>1</v>
      </c>
      <c r="N42" cm="1">
        <f t="array" ref="N42">COUNTA(_xlfn.UNIQUE(_xlfn._xlws.FILTER(Hierarchy!G$2:G$1000, ISNUMBER(MATCH(Hierarchy!$A$2:$A$1000, _xlfn.TEXTSPLIT($C42,", "),0)), "")))</f>
        <v>1</v>
      </c>
      <c r="O42" cm="1">
        <f t="array" ref="O42">COUNTA(_xlfn.UNIQUE(_xlfn._xlws.FILTER(Hierarchy!H$2:H$1000, ISNUMBER(MATCH(Hierarchy!$A$2:$A$1000, _xlfn.TEXTSPLIT($C42,", "),0)), "")))</f>
        <v>1</v>
      </c>
      <c r="P42" cm="1">
        <f t="array" ref="P42">COUNTA(_xlfn.UNIQUE(_xlfn._xlws.FILTER(Hierarchy!I$2:I$1000, ISNUMBER(MATCH(Hierarchy!$A$2:$A$1000, _xlfn.TEXTSPLIT($C42,", "),0)), "")))</f>
        <v>1</v>
      </c>
      <c r="Q42" cm="1">
        <f t="array" ref="Q42">COUNTA(_xlfn.UNIQUE(_xlfn._xlws.FILTER(Hierarchy!J$2:J$1000, ISNUMBER(MATCH(Hierarchy!$A$2:$A$1000, _xlfn.TEXTSPLIT($C42,", "),0)), "")))</f>
        <v>1</v>
      </c>
      <c r="R42" cm="1">
        <f t="array" ref="R42">COUNTA(_xlfn.UNIQUE(_xlfn._xlws.FILTER(Hierarchy!K$2:K$1000, ISNUMBER(MATCH(Hierarchy!$A$2:$A$1000, _xlfn.TEXTSPLIT($C42,", "),0)), "")))</f>
        <v>1</v>
      </c>
      <c r="S42" cm="1">
        <f t="array" ref="S42">COUNTA(_xlfn.UNIQUE(_xlfn._xlws.FILTER(Hierarchy!L$2:L$1000, ISNUMBER(MATCH(Hierarchy!$A$2:$A$1000, _xlfn.TEXTSPLIT($C42,", "),0)), "")))</f>
        <v>1</v>
      </c>
    </row>
    <row r="43" spans="1:19" x14ac:dyDescent="0.2">
      <c r="A43" t="str">
        <f t="shared" si="0"/>
        <v>NM_and_w_TX</v>
      </c>
      <c r="B43" t="s">
        <v>372</v>
      </c>
      <c r="C43" t="s">
        <v>342</v>
      </c>
      <c r="D43" cm="1">
        <f t="array" ref="D43">SUMPRODUCT(--(TRIM(IFERROR(_xlfn.TEXTSPLIT(_xlfn.TEXTJOIN(",",TRUE,C43),","),""))&lt;&gt;""))</f>
        <v>2</v>
      </c>
      <c r="E43" s="5" t="str" cm="1">
        <f t="array" ref="E43">_xlfn.TEXTJOIN(", ", TRUE, _xlfn.UNIQUE(_xlfn._xlws.FILTER(Hierarchy!F$2:F$1000, ISNUMBER(MATCH(Hierarchy!$A$2:$A$1000, _xlfn.TEXTSPLIT($C43,", "),0)), "")))</f>
        <v>NM, TX</v>
      </c>
      <c r="F43" t="str" cm="1">
        <f t="array" ref="F43">_xlfn.TEXTJOIN(", ", TRUE, _xlfn.UNIQUE(_xlfn._xlws.FILTER(Hierarchy!H$2:H$1000, ISNUMBER(MATCH(Hierarchy!$A$2:$A$1000, _xlfn.TEXTSPLIT($C43,", "),0)), "")))</f>
        <v>NM_western, TX_western</v>
      </c>
      <c r="G43" t="str" cm="1">
        <f t="array" ref="G43">_xlfn.TEXTJOIN(", ", TRUE, _xlfn.UNIQUE(_xlfn._xlws.FILTER(Hierarchy!C$2:C$1000, ISNUMBER(MATCH(Hierarchy!$A$2:$A$1000, _xlfn.TEXTSPLIT($C43,", "),0)), "")))</f>
        <v>WestConnect</v>
      </c>
      <c r="H43" s="1" cm="1">
        <f t="array" ref="H43">SUMPRODUCT((ISNUMBER(MATCH(Hierarchy!A$2:A$1000, _xlfn.TEXTSPLIT(C43,", "),0)))*Hierarchy!O$2:O$1000)</f>
        <v>2731484</v>
      </c>
      <c r="I43" cm="1">
        <f t="array" ref="I43">COUNTA(_xlfn.UNIQUE(_xlfn._xlws.FILTER(Hierarchy!B$2:B$1000, ISNUMBER(MATCH(Hierarchy!$A$2:$A$1000, _xlfn.TEXTSPLIT($C43,", "),0)), "")))</f>
        <v>1</v>
      </c>
      <c r="J43" cm="1">
        <f t="array" ref="J43">COUNTA(_xlfn.UNIQUE(_xlfn._xlws.FILTER(Hierarchy!C$2:C$1000, ISNUMBER(MATCH(Hierarchy!$A$2:$A$1000, _xlfn.TEXTSPLIT($C43,", "),0)), "")))</f>
        <v>1</v>
      </c>
      <c r="K43" cm="1">
        <f t="array" ref="K43">COUNTA(_xlfn.UNIQUE(_xlfn._xlws.FILTER(Hierarchy!D$2:D$1000, ISNUMBER(MATCH(Hierarchy!$A$2:$A$1000, _xlfn.TEXTSPLIT($C43,", "),0)), "")))</f>
        <v>1</v>
      </c>
      <c r="L43" cm="1">
        <f t="array" ref="L43">COUNTA(_xlfn.UNIQUE(_xlfn._xlws.FILTER(Hierarchy!E$2:E$1000, ISNUMBER(MATCH(Hierarchy!$A$2:$A$1000, _xlfn.TEXTSPLIT($C43,", "),0)), "")))</f>
        <v>1</v>
      </c>
      <c r="M43" cm="1">
        <f t="array" ref="M43">COUNTA(_xlfn.UNIQUE(_xlfn._xlws.FILTER(Hierarchy!F$2:F$1000, ISNUMBER(MATCH(Hierarchy!$A$2:$A$1000, _xlfn.TEXTSPLIT($C43,", "),0)), "")))</f>
        <v>2</v>
      </c>
      <c r="N43" cm="1">
        <f t="array" ref="N43">COUNTA(_xlfn.UNIQUE(_xlfn._xlws.FILTER(Hierarchy!G$2:G$1000, ISNUMBER(MATCH(Hierarchy!$A$2:$A$1000, _xlfn.TEXTSPLIT($C43,", "),0)), "")))</f>
        <v>1</v>
      </c>
      <c r="O43" cm="1">
        <f t="array" ref="O43">COUNTA(_xlfn.UNIQUE(_xlfn._xlws.FILTER(Hierarchy!H$2:H$1000, ISNUMBER(MATCH(Hierarchy!$A$2:$A$1000, _xlfn.TEXTSPLIT($C43,", "),0)), "")))</f>
        <v>2</v>
      </c>
      <c r="P43" cm="1">
        <f t="array" ref="P43">COUNTA(_xlfn.UNIQUE(_xlfn._xlws.FILTER(Hierarchy!I$2:I$1000, ISNUMBER(MATCH(Hierarchy!$A$2:$A$1000, _xlfn.TEXTSPLIT($C43,", "),0)), "")))</f>
        <v>1</v>
      </c>
      <c r="Q43" cm="1">
        <f t="array" ref="Q43">COUNTA(_xlfn.UNIQUE(_xlfn._xlws.FILTER(Hierarchy!J$2:J$1000, ISNUMBER(MATCH(Hierarchy!$A$2:$A$1000, _xlfn.TEXTSPLIT($C43,", "),0)), "")))</f>
        <v>2</v>
      </c>
      <c r="R43" cm="1">
        <f t="array" ref="R43">COUNTA(_xlfn.UNIQUE(_xlfn._xlws.FILTER(Hierarchy!K$2:K$1000, ISNUMBER(MATCH(Hierarchy!$A$2:$A$1000, _xlfn.TEXTSPLIT($C43,", "),0)), "")))</f>
        <v>2</v>
      </c>
      <c r="S43" cm="1">
        <f t="array" ref="S43">COUNTA(_xlfn.UNIQUE(_xlfn._xlws.FILTER(Hierarchy!L$2:L$1000, ISNUMBER(MATCH(Hierarchy!$A$2:$A$1000, _xlfn.TEXTSPLIT($C43,", "),0)), "")))</f>
        <v>2</v>
      </c>
    </row>
    <row r="44" spans="1:19" x14ac:dyDescent="0.2">
      <c r="A44" t="str">
        <f t="shared" si="0"/>
        <v>VT_and_NH</v>
      </c>
      <c r="B44" t="s">
        <v>373</v>
      </c>
      <c r="C44" t="s">
        <v>340</v>
      </c>
      <c r="D44" cm="1">
        <f t="array" ref="D44">SUMPRODUCT(--(TRIM(IFERROR(_xlfn.TEXTSPLIT(_xlfn.TEXTJOIN(",",TRUE,C44),","),""))&lt;&gt;""))</f>
        <v>2</v>
      </c>
      <c r="E44" s="5" t="str" cm="1">
        <f t="array" ref="E44">_xlfn.TEXTJOIN(", ", TRUE, _xlfn.UNIQUE(_xlfn._xlws.FILTER(Hierarchy!F$2:F$1000, ISNUMBER(MATCH(Hierarchy!$A$2:$A$1000, _xlfn.TEXTSPLIT($C44,", "),0)), "")))</f>
        <v>VT, NH</v>
      </c>
      <c r="F44" t="str" cm="1">
        <f t="array" ref="F44">_xlfn.TEXTJOIN(", ", TRUE, _xlfn.UNIQUE(_xlfn._xlws.FILTER(Hierarchy!H$2:H$1000, ISNUMBER(MATCH(Hierarchy!$A$2:$A$1000, _xlfn.TEXTSPLIT($C44,", "),0)), "")))</f>
        <v>VT, NH</v>
      </c>
      <c r="G44" t="str" cm="1">
        <f t="array" ref="G44">_xlfn.TEXTJOIN(", ", TRUE, _xlfn.UNIQUE(_xlfn._xlws.FILTER(Hierarchy!C$2:C$1000, ISNUMBER(MATCH(Hierarchy!$A$2:$A$1000, _xlfn.TEXTSPLIT($C44,", "),0)), "")))</f>
        <v>ISONE</v>
      </c>
      <c r="H44" s="1" cm="1">
        <f t="array" ref="H44">SUMPRODUCT((ISNUMBER(MATCH(Hierarchy!A$2:A$1000, _xlfn.TEXTSPLIT(C44,", "),0)))*Hierarchy!O$2:O$1000)</f>
        <v>2057525</v>
      </c>
      <c r="I44" cm="1">
        <f t="array" ref="I44">COUNTA(_xlfn.UNIQUE(_xlfn._xlws.FILTER(Hierarchy!B$2:B$1000, ISNUMBER(MATCH(Hierarchy!$A$2:$A$1000, _xlfn.TEXTSPLIT($C44,", "),0)), "")))</f>
        <v>1</v>
      </c>
      <c r="J44" cm="1">
        <f t="array" ref="J44">COUNTA(_xlfn.UNIQUE(_xlfn._xlws.FILTER(Hierarchy!C$2:C$1000, ISNUMBER(MATCH(Hierarchy!$A$2:$A$1000, _xlfn.TEXTSPLIT($C44,", "),0)), "")))</f>
        <v>1</v>
      </c>
      <c r="K44" cm="1">
        <f t="array" ref="K44">COUNTA(_xlfn.UNIQUE(_xlfn._xlws.FILTER(Hierarchy!D$2:D$1000, ISNUMBER(MATCH(Hierarchy!$A$2:$A$1000, _xlfn.TEXTSPLIT($C44,", "),0)), "")))</f>
        <v>1</v>
      </c>
      <c r="L44" cm="1">
        <f t="array" ref="L44">COUNTA(_xlfn.UNIQUE(_xlfn._xlws.FILTER(Hierarchy!E$2:E$1000, ISNUMBER(MATCH(Hierarchy!$A$2:$A$1000, _xlfn.TEXTSPLIT($C44,", "),0)), "")))</f>
        <v>1</v>
      </c>
      <c r="M44" cm="1">
        <f t="array" ref="M44">COUNTA(_xlfn.UNIQUE(_xlfn._xlws.FILTER(Hierarchy!F$2:F$1000, ISNUMBER(MATCH(Hierarchy!$A$2:$A$1000, _xlfn.TEXTSPLIT($C44,", "),0)), "")))</f>
        <v>2</v>
      </c>
      <c r="N44" cm="1">
        <f t="array" ref="N44">COUNTA(_xlfn.UNIQUE(_xlfn._xlws.FILTER(Hierarchy!G$2:G$1000, ISNUMBER(MATCH(Hierarchy!$A$2:$A$1000, _xlfn.TEXTSPLIT($C44,", "),0)), "")))</f>
        <v>1</v>
      </c>
      <c r="O44" cm="1">
        <f t="array" ref="O44">COUNTA(_xlfn.UNIQUE(_xlfn._xlws.FILTER(Hierarchy!H$2:H$1000, ISNUMBER(MATCH(Hierarchy!$A$2:$A$1000, _xlfn.TEXTSPLIT($C44,", "),0)), "")))</f>
        <v>2</v>
      </c>
      <c r="P44" cm="1">
        <f t="array" ref="P44">COUNTA(_xlfn.UNIQUE(_xlfn._xlws.FILTER(Hierarchy!I$2:I$1000, ISNUMBER(MATCH(Hierarchy!$A$2:$A$1000, _xlfn.TEXTSPLIT($C44,", "),0)), "")))</f>
        <v>1</v>
      </c>
      <c r="Q44" cm="1">
        <f t="array" ref="Q44">COUNTA(_xlfn.UNIQUE(_xlfn._xlws.FILTER(Hierarchy!J$2:J$1000, ISNUMBER(MATCH(Hierarchy!$A$2:$A$1000, _xlfn.TEXTSPLIT($C44,", "),0)), "")))</f>
        <v>1</v>
      </c>
      <c r="R44" cm="1">
        <f t="array" ref="R44">COUNTA(_xlfn.UNIQUE(_xlfn._xlws.FILTER(Hierarchy!K$2:K$1000, ISNUMBER(MATCH(Hierarchy!$A$2:$A$1000, _xlfn.TEXTSPLIT($C44,", "),0)), "")))</f>
        <v>1</v>
      </c>
      <c r="S44" cm="1">
        <f t="array" ref="S44">COUNTA(_xlfn.UNIQUE(_xlfn._xlws.FILTER(Hierarchy!L$2:L$1000, ISNUMBER(MATCH(Hierarchy!$A$2:$A$1000, _xlfn.TEXTSPLIT($C44,", "),0)), "")))</f>
        <v>1</v>
      </c>
    </row>
    <row r="45" spans="1:19" x14ac:dyDescent="0.2">
      <c r="A45" t="str">
        <f t="shared" si="0"/>
        <v>WV</v>
      </c>
      <c r="B45" t="s">
        <v>260</v>
      </c>
      <c r="C45" s="9" t="s">
        <v>343</v>
      </c>
      <c r="D45" cm="1">
        <f t="array" ref="D45">SUMPRODUCT(--(TRIM(IFERROR(_xlfn.TEXTSPLIT(_xlfn.TEXTJOIN(",",TRUE,C45),","),""))&lt;&gt;""))</f>
        <v>2</v>
      </c>
      <c r="E45" s="5" t="str" cm="1">
        <f t="array" ref="E45">_xlfn.TEXTJOIN(", ", TRUE, _xlfn.UNIQUE(_xlfn._xlws.FILTER(Hierarchy!F$2:F$1000, ISNUMBER(MATCH(Hierarchy!$A$2:$A$1000, _xlfn.TEXTSPLIT($C45,", "),0)), "")))</f>
        <v>WV</v>
      </c>
      <c r="F45" t="str" cm="1">
        <f t="array" ref="F45">_xlfn.TEXTJOIN(", ", TRUE, _xlfn.UNIQUE(_xlfn._xlws.FILTER(Hierarchy!H$2:H$1000, ISNUMBER(MATCH(Hierarchy!$A$2:$A$1000, _xlfn.TEXTSPLIT($C45,", "),0)), "")))</f>
        <v>WV</v>
      </c>
      <c r="G45" t="str" cm="1">
        <f t="array" ref="G45">_xlfn.TEXTJOIN(", ", TRUE, _xlfn.UNIQUE(_xlfn._xlws.FILTER(Hierarchy!C$2:C$1000, ISNUMBER(MATCH(Hierarchy!$A$2:$A$1000, _xlfn.TEXTSPLIT($C45,", "),0)), "")))</f>
        <v>PJM</v>
      </c>
      <c r="H45" s="1" cm="1">
        <f t="array" ref="H45">SUMPRODUCT((ISNUMBER(MATCH(Hierarchy!A$2:A$1000, _xlfn.TEXTSPLIT(C45,", "),0)))*Hierarchy!O$2:O$1000)</f>
        <v>1769979</v>
      </c>
      <c r="I45" cm="1">
        <f t="array" ref="I45">COUNTA(_xlfn.UNIQUE(_xlfn._xlws.FILTER(Hierarchy!B$2:B$1000, ISNUMBER(MATCH(Hierarchy!$A$2:$A$1000, _xlfn.TEXTSPLIT($C45,", "),0)), "")))</f>
        <v>1</v>
      </c>
      <c r="J45" cm="1">
        <f t="array" ref="J45">COUNTA(_xlfn.UNIQUE(_xlfn._xlws.FILTER(Hierarchy!C$2:C$1000, ISNUMBER(MATCH(Hierarchy!$A$2:$A$1000, _xlfn.TEXTSPLIT($C45,", "),0)), "")))</f>
        <v>1</v>
      </c>
      <c r="K45" cm="1">
        <f t="array" ref="K45">COUNTA(_xlfn.UNIQUE(_xlfn._xlws.FILTER(Hierarchy!D$2:D$1000, ISNUMBER(MATCH(Hierarchy!$A$2:$A$1000, _xlfn.TEXTSPLIT($C45,", "),0)), "")))</f>
        <v>1</v>
      </c>
      <c r="L45" cm="1">
        <f t="array" ref="L45">COUNTA(_xlfn.UNIQUE(_xlfn._xlws.FILTER(Hierarchy!E$2:E$1000, ISNUMBER(MATCH(Hierarchy!$A$2:$A$1000, _xlfn.TEXTSPLIT($C45,", "),0)), "")))</f>
        <v>1</v>
      </c>
      <c r="M45" cm="1">
        <f t="array" ref="M45">COUNTA(_xlfn.UNIQUE(_xlfn._xlws.FILTER(Hierarchy!F$2:F$1000, ISNUMBER(MATCH(Hierarchy!$A$2:$A$1000, _xlfn.TEXTSPLIT($C45,", "),0)), "")))</f>
        <v>1</v>
      </c>
      <c r="N45" cm="1">
        <f t="array" ref="N45">COUNTA(_xlfn.UNIQUE(_xlfn._xlws.FILTER(Hierarchy!G$2:G$1000, ISNUMBER(MATCH(Hierarchy!$A$2:$A$1000, _xlfn.TEXTSPLIT($C45,", "),0)), "")))</f>
        <v>1</v>
      </c>
      <c r="O45" cm="1">
        <f t="array" ref="O45">COUNTA(_xlfn.UNIQUE(_xlfn._xlws.FILTER(Hierarchy!H$2:H$1000, ISNUMBER(MATCH(Hierarchy!$A$2:$A$1000, _xlfn.TEXTSPLIT($C45,", "),0)), "")))</f>
        <v>1</v>
      </c>
      <c r="P45" cm="1">
        <f t="array" ref="P45">COUNTA(_xlfn.UNIQUE(_xlfn._xlws.FILTER(Hierarchy!I$2:I$1000, ISNUMBER(MATCH(Hierarchy!$A$2:$A$1000, _xlfn.TEXTSPLIT($C45,", "),0)), "")))</f>
        <v>1</v>
      </c>
      <c r="Q45" cm="1">
        <f t="array" ref="Q45">COUNTA(_xlfn.UNIQUE(_xlfn._xlws.FILTER(Hierarchy!J$2:J$1000, ISNUMBER(MATCH(Hierarchy!$A$2:$A$1000, _xlfn.TEXTSPLIT($C45,", "),0)), "")))</f>
        <v>1</v>
      </c>
      <c r="R45" cm="1">
        <f t="array" ref="R45">COUNTA(_xlfn.UNIQUE(_xlfn._xlws.FILTER(Hierarchy!K$2:K$1000, ISNUMBER(MATCH(Hierarchy!$A$2:$A$1000, _xlfn.TEXTSPLIT($C45,", "),0)), "")))</f>
        <v>1</v>
      </c>
      <c r="S45" cm="1">
        <f t="array" ref="S45">COUNTA(_xlfn.UNIQUE(_xlfn._xlws.FILTER(Hierarchy!L$2:L$1000, ISNUMBER(MATCH(Hierarchy!$A$2:$A$1000, _xlfn.TEXTSPLIT($C45,", "),0)), "")))</f>
        <v>1</v>
      </c>
    </row>
    <row r="46" spans="1:19" x14ac:dyDescent="0.2">
      <c r="A46" t="str">
        <f t="shared" si="0"/>
        <v>ME</v>
      </c>
      <c r="B46" t="s">
        <v>296</v>
      </c>
      <c r="C46" t="s">
        <v>295</v>
      </c>
      <c r="D46" cm="1">
        <f t="array" ref="D46">SUMPRODUCT(--(TRIM(IFERROR(_xlfn.TEXTSPLIT(_xlfn.TEXTJOIN(",",TRUE,C46),","),""))&lt;&gt;""))</f>
        <v>1</v>
      </c>
      <c r="E46" s="5" t="str" cm="1">
        <f t="array" ref="E46">_xlfn.TEXTJOIN(", ", TRUE, _xlfn.UNIQUE(_xlfn._xlws.FILTER(Hierarchy!F$2:F$1000, ISNUMBER(MATCH(Hierarchy!$A$2:$A$1000, _xlfn.TEXTSPLIT($C46,", "),0)), "")))</f>
        <v>ME</v>
      </c>
      <c r="F46" t="str" cm="1">
        <f t="array" ref="F46">_xlfn.TEXTJOIN(", ", TRUE, _xlfn.UNIQUE(_xlfn._xlws.FILTER(Hierarchy!H$2:H$1000, ISNUMBER(MATCH(Hierarchy!$A$2:$A$1000, _xlfn.TEXTSPLIT($C46,", "),0)), "")))</f>
        <v>ME</v>
      </c>
      <c r="G46" t="str" cm="1">
        <f t="array" ref="G46">_xlfn.TEXTJOIN(", ", TRUE, _xlfn.UNIQUE(_xlfn._xlws.FILTER(Hierarchy!C$2:C$1000, ISNUMBER(MATCH(Hierarchy!$A$2:$A$1000, _xlfn.TEXTSPLIT($C46,", "),0)), "")))</f>
        <v>ISONE</v>
      </c>
      <c r="H46" s="1" cm="1">
        <f t="array" ref="H46">SUMPRODUCT((ISNUMBER(MATCH(Hierarchy!A$2:A$1000, _xlfn.TEXTSPLIT(C46,", "),0)))*Hierarchy!O$2:O$1000)</f>
        <v>1405012</v>
      </c>
      <c r="I46" cm="1">
        <f t="array" ref="I46">COUNTA(_xlfn.UNIQUE(_xlfn._xlws.FILTER(Hierarchy!B$2:B$1000, ISNUMBER(MATCH(Hierarchy!$A$2:$A$1000, _xlfn.TEXTSPLIT($C46,", "),0)), "")))</f>
        <v>1</v>
      </c>
      <c r="J46" cm="1">
        <f t="array" ref="J46">COUNTA(_xlfn.UNIQUE(_xlfn._xlws.FILTER(Hierarchy!C$2:C$1000, ISNUMBER(MATCH(Hierarchy!$A$2:$A$1000, _xlfn.TEXTSPLIT($C46,", "),0)), "")))</f>
        <v>1</v>
      </c>
      <c r="K46" cm="1">
        <f t="array" ref="K46">COUNTA(_xlfn.UNIQUE(_xlfn._xlws.FILTER(Hierarchy!D$2:D$1000, ISNUMBER(MATCH(Hierarchy!$A$2:$A$1000, _xlfn.TEXTSPLIT($C46,", "),0)), "")))</f>
        <v>1</v>
      </c>
      <c r="L46" cm="1">
        <f t="array" ref="L46">COUNTA(_xlfn.UNIQUE(_xlfn._xlws.FILTER(Hierarchy!E$2:E$1000, ISNUMBER(MATCH(Hierarchy!$A$2:$A$1000, _xlfn.TEXTSPLIT($C46,", "),0)), "")))</f>
        <v>1</v>
      </c>
      <c r="M46" cm="1">
        <f t="array" ref="M46">COUNTA(_xlfn.UNIQUE(_xlfn._xlws.FILTER(Hierarchy!F$2:F$1000, ISNUMBER(MATCH(Hierarchy!$A$2:$A$1000, _xlfn.TEXTSPLIT($C46,", "),0)), "")))</f>
        <v>1</v>
      </c>
      <c r="N46" cm="1">
        <f t="array" ref="N46">COUNTA(_xlfn.UNIQUE(_xlfn._xlws.FILTER(Hierarchy!G$2:G$1000, ISNUMBER(MATCH(Hierarchy!$A$2:$A$1000, _xlfn.TEXTSPLIT($C46,", "),0)), "")))</f>
        <v>1</v>
      </c>
      <c r="O46" cm="1">
        <f t="array" ref="O46">COUNTA(_xlfn.UNIQUE(_xlfn._xlws.FILTER(Hierarchy!H$2:H$1000, ISNUMBER(MATCH(Hierarchy!$A$2:$A$1000, _xlfn.TEXTSPLIT($C46,", "),0)), "")))</f>
        <v>1</v>
      </c>
      <c r="P46" cm="1">
        <f t="array" ref="P46">COUNTA(_xlfn.UNIQUE(_xlfn._xlws.FILTER(Hierarchy!I$2:I$1000, ISNUMBER(MATCH(Hierarchy!$A$2:$A$1000, _xlfn.TEXTSPLIT($C46,", "),0)), "")))</f>
        <v>1</v>
      </c>
      <c r="Q46" cm="1">
        <f t="array" ref="Q46">COUNTA(_xlfn.UNIQUE(_xlfn._xlws.FILTER(Hierarchy!J$2:J$1000, ISNUMBER(MATCH(Hierarchy!$A$2:$A$1000, _xlfn.TEXTSPLIT($C46,", "),0)), "")))</f>
        <v>1</v>
      </c>
      <c r="R46" cm="1">
        <f t="array" ref="R46">COUNTA(_xlfn.UNIQUE(_xlfn._xlws.FILTER(Hierarchy!K$2:K$1000, ISNUMBER(MATCH(Hierarchy!$A$2:$A$1000, _xlfn.TEXTSPLIT($C46,", "),0)), "")))</f>
        <v>1</v>
      </c>
      <c r="S46" cm="1">
        <f t="array" ref="S46">COUNTA(_xlfn.UNIQUE(_xlfn._xlws.FILTER(Hierarchy!L$2:L$1000, ISNUMBER(MATCH(Hierarchy!$A$2:$A$1000, _xlfn.TEXTSPLIT($C46,", "),0)), "")))</f>
        <v>1</v>
      </c>
    </row>
    <row r="47" spans="1:19" x14ac:dyDescent="0.2">
      <c r="A47" t="str">
        <f t="shared" si="0"/>
        <v>e_WY_and_w_SD</v>
      </c>
      <c r="B47" t="s">
        <v>374</v>
      </c>
      <c r="C47" s="6" t="s">
        <v>313</v>
      </c>
      <c r="D47" cm="1">
        <f t="array" ref="D47">SUMPRODUCT(--(TRIM(IFERROR(_xlfn.TEXTSPLIT(_xlfn.TEXTJOIN(",",TRUE,C47),","),""))&lt;&gt;""))</f>
        <v>3</v>
      </c>
      <c r="E47" s="5" t="str" cm="1">
        <f t="array" ref="E47">_xlfn.TEXTJOIN(", ", TRUE, _xlfn.UNIQUE(_xlfn._xlws.FILTER(Hierarchy!F$2:F$1000, ISNUMBER(MATCH(Hierarchy!$A$2:$A$1000, _xlfn.TEXTSPLIT($C47,", "),0)), "")))</f>
        <v>WY, SD</v>
      </c>
      <c r="F47" t="str" cm="1">
        <f t="array" ref="F47">_xlfn.TEXTJOIN(", ", TRUE, _xlfn.UNIQUE(_xlfn._xlws.FILTER(Hierarchy!H$2:H$1000, ISNUMBER(MATCH(Hierarchy!$A$2:$A$1000, _xlfn.TEXTSPLIT($C47,", "),0)), "")))</f>
        <v>WY, SD_western</v>
      </c>
      <c r="G47" t="str" cm="1">
        <f t="array" ref="G47">_xlfn.TEXTJOIN(", ", TRUE, _xlfn.UNIQUE(_xlfn._xlws.FILTER(Hierarchy!C$2:C$1000, ISNUMBER(MATCH(Hierarchy!$A$2:$A$1000, _xlfn.TEXTSPLIT($C47,", "),0)), "")))</f>
        <v>WestConnect</v>
      </c>
      <c r="H47" s="1" cm="1">
        <f t="array" ref="H47">SUMPRODUCT((ISNUMBER(MATCH(Hierarchy!A$2:A$1000, _xlfn.TEXTSPLIT(C47,", "),0)))*Hierarchy!O$2:O$1000)</f>
        <v>507900</v>
      </c>
      <c r="I47" cm="1">
        <f t="array" ref="I47">COUNTA(_xlfn.UNIQUE(_xlfn._xlws.FILTER(Hierarchy!B$2:B$1000, ISNUMBER(MATCH(Hierarchy!$A$2:$A$1000, _xlfn.TEXTSPLIT($C47,", "),0)), "")))</f>
        <v>1</v>
      </c>
      <c r="J47" cm="1">
        <f t="array" ref="J47">COUNTA(_xlfn.UNIQUE(_xlfn._xlws.FILTER(Hierarchy!C$2:C$1000, ISNUMBER(MATCH(Hierarchy!$A$2:$A$1000, _xlfn.TEXTSPLIT($C47,", "),0)), "")))</f>
        <v>1</v>
      </c>
      <c r="K47" cm="1">
        <f t="array" ref="K47">COUNTA(_xlfn.UNIQUE(_xlfn._xlws.FILTER(Hierarchy!D$2:D$1000, ISNUMBER(MATCH(Hierarchy!$A$2:$A$1000, _xlfn.TEXTSPLIT($C47,", "),0)), "")))</f>
        <v>1</v>
      </c>
      <c r="L47" cm="1">
        <f t="array" ref="L47">COUNTA(_xlfn.UNIQUE(_xlfn._xlws.FILTER(Hierarchy!E$2:E$1000, ISNUMBER(MATCH(Hierarchy!$A$2:$A$1000, _xlfn.TEXTSPLIT($C47,", "),0)), "")))</f>
        <v>1</v>
      </c>
      <c r="M47" cm="1">
        <f t="array" ref="M47">COUNTA(_xlfn.UNIQUE(_xlfn._xlws.FILTER(Hierarchy!F$2:F$1000, ISNUMBER(MATCH(Hierarchy!$A$2:$A$1000, _xlfn.TEXTSPLIT($C47,", "),0)), "")))</f>
        <v>2</v>
      </c>
      <c r="N47" cm="1">
        <f t="array" ref="N47">COUNTA(_xlfn.UNIQUE(_xlfn._xlws.FILTER(Hierarchy!G$2:G$1000, ISNUMBER(MATCH(Hierarchy!$A$2:$A$1000, _xlfn.TEXTSPLIT($C47,", "),0)), "")))</f>
        <v>1</v>
      </c>
      <c r="O47" cm="1">
        <f t="array" ref="O47">COUNTA(_xlfn.UNIQUE(_xlfn._xlws.FILTER(Hierarchy!H$2:H$1000, ISNUMBER(MATCH(Hierarchy!$A$2:$A$1000, _xlfn.TEXTSPLIT($C47,", "),0)), "")))</f>
        <v>2</v>
      </c>
      <c r="P47" cm="1">
        <f t="array" ref="P47">COUNTA(_xlfn.UNIQUE(_xlfn._xlws.FILTER(Hierarchy!I$2:I$1000, ISNUMBER(MATCH(Hierarchy!$A$2:$A$1000, _xlfn.TEXTSPLIT($C47,", "),0)), "")))</f>
        <v>1</v>
      </c>
      <c r="Q47" cm="1">
        <f t="array" ref="Q47">COUNTA(_xlfn.UNIQUE(_xlfn._xlws.FILTER(Hierarchy!J$2:J$1000, ISNUMBER(MATCH(Hierarchy!$A$2:$A$1000, _xlfn.TEXTSPLIT($C47,", "),0)), "")))</f>
        <v>2</v>
      </c>
      <c r="R47" cm="1">
        <f t="array" ref="R47">COUNTA(_xlfn.UNIQUE(_xlfn._xlws.FILTER(Hierarchy!K$2:K$1000, ISNUMBER(MATCH(Hierarchy!$A$2:$A$1000, _xlfn.TEXTSPLIT($C47,", "),0)), "")))</f>
        <v>2</v>
      </c>
      <c r="S47" cm="1">
        <f t="array" ref="S47">COUNTA(_xlfn.UNIQUE(_xlfn._xlws.FILTER(Hierarchy!L$2:L$1000, ISNUMBER(MATCH(Hierarchy!$A$2:$A$1000, _xlfn.TEXTSPLIT($C47,", "),0)), "")))</f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2D4D-ED3D-4640-81C9-FDF6FC5C8E8D}">
  <dimension ref="A1:T135"/>
  <sheetViews>
    <sheetView workbookViewId="0">
      <selection activeCell="F10" sqref="F10"/>
    </sheetView>
  </sheetViews>
  <sheetFormatPr baseColWidth="10" defaultRowHeight="16" x14ac:dyDescent="0.2"/>
  <cols>
    <col min="2" max="2" width="13.83203125" customWidth="1"/>
    <col min="3" max="3" width="19.6640625" customWidth="1"/>
  </cols>
  <sheetData>
    <row r="1" spans="1:20" x14ac:dyDescent="0.2">
      <c r="A1" s="2" t="s">
        <v>0</v>
      </c>
      <c r="B1" s="2" t="s">
        <v>309</v>
      </c>
      <c r="C1" s="2" t="s">
        <v>310</v>
      </c>
      <c r="E1" s="2" t="s">
        <v>298</v>
      </c>
      <c r="F1" s="2" t="str">
        <f>Hierarchy!A1</f>
        <v>ba</v>
      </c>
      <c r="G1" s="2" t="str">
        <f>Hierarchy!B1</f>
        <v>nercr</v>
      </c>
      <c r="H1" s="2" t="str">
        <f>Hierarchy!C1</f>
        <v>transreg</v>
      </c>
      <c r="I1" s="2" t="str">
        <f>Hierarchy!D1</f>
        <v>transgrp</v>
      </c>
      <c r="J1" s="2" t="str">
        <f>Hierarchy!E1</f>
        <v>cendiv</v>
      </c>
      <c r="K1" s="2" t="str">
        <f>Hierarchy!F1</f>
        <v>st</v>
      </c>
      <c r="L1" s="2" t="str">
        <f>Hierarchy!G1</f>
        <v>interconnect</v>
      </c>
      <c r="M1" s="2" t="str">
        <f>Hierarchy!H1</f>
        <v>st_interconnect</v>
      </c>
      <c r="N1" s="2" t="str">
        <f>Hierarchy!I1</f>
        <v>country</v>
      </c>
      <c r="O1" s="2" t="str">
        <f>Hierarchy!J1</f>
        <v>usda_region</v>
      </c>
      <c r="P1" s="2" t="str">
        <f>Hierarchy!K1</f>
        <v>h2ptcreg</v>
      </c>
      <c r="Q1" s="2" t="str">
        <f>Hierarchy!L1</f>
        <v>hurdlereg</v>
      </c>
      <c r="R1" s="2" t="str">
        <f>Hierarchy!M1</f>
        <v>aggreg</v>
      </c>
      <c r="S1" s="2" t="str">
        <f>Hierarchy!N1</f>
        <v>ba</v>
      </c>
      <c r="T1" s="2" t="str">
        <f>Hierarchy!O1</f>
        <v>population</v>
      </c>
    </row>
    <row r="2" spans="1:20" x14ac:dyDescent="0.2">
      <c r="A2" t="s">
        <v>13</v>
      </c>
      <c r="B2" t="str" cm="1">
        <f t="array" ref="B2">IF(SUMPRODUCT(--(TRIM(IFERROR(_xlfn.TEXTSPLIT(_xlfn.TEXTJOIN(",",TRUE,Sheet2!$C$2:$C$1006),","),""))=A2))&gt;0,"Yes","No")</f>
        <v>Yes</v>
      </c>
      <c r="C2" cm="1">
        <f t="array" ref="C2">SUMPRODUCT(--(TRIM(IFERROR(_xlfn.TEXTSPLIT(_xlfn.TEXTJOIN(",",TRUE,Sheet2!$C$2:$C$1006),","),""))=A2))</f>
        <v>1</v>
      </c>
      <c r="E2" t="s">
        <v>299</v>
      </c>
      <c r="F2">
        <f>COUNTA(_xlfn.UNIQUE(Hierarchy!A2:A135))</f>
        <v>134</v>
      </c>
      <c r="G2">
        <f>COUNTA(_xlfn.UNIQUE(Hierarchy!B2:B135))</f>
        <v>13</v>
      </c>
      <c r="H2">
        <f>COUNTA(_xlfn.UNIQUE(Hierarchy!C2:C135))</f>
        <v>11</v>
      </c>
      <c r="I2">
        <f>COUNTA(_xlfn.UNIQUE(Hierarchy!D2:D135))</f>
        <v>18</v>
      </c>
      <c r="J2">
        <f>COUNTA(_xlfn.UNIQUE(Hierarchy!E2:E135))</f>
        <v>9</v>
      </c>
      <c r="K2">
        <f>COUNTA(_xlfn.UNIQUE(Hierarchy!F2:F135))</f>
        <v>48</v>
      </c>
      <c r="L2">
        <f>COUNTA(_xlfn.UNIQUE(Hierarchy!G2:G135))</f>
        <v>3</v>
      </c>
      <c r="M2">
        <f>COUNTA(_xlfn.UNIQUE(Hierarchy!H2:H135))</f>
        <v>53</v>
      </c>
      <c r="N2">
        <f>COUNTA(_xlfn.UNIQUE(Hierarchy!I2:I135))</f>
        <v>1</v>
      </c>
      <c r="O2">
        <f>COUNTA(_xlfn.UNIQUE(Hierarchy!J2:J135))</f>
        <v>10</v>
      </c>
      <c r="P2">
        <f>COUNTA(_xlfn.UNIQUE(Hierarchy!K2:K135))</f>
        <v>13</v>
      </c>
      <c r="Q2">
        <f>COUNTA(_xlfn.UNIQUE(Hierarchy!L2:L135))</f>
        <v>31</v>
      </c>
      <c r="R2">
        <f>COUNTA(_xlfn.UNIQUE(Hierarchy!M2:M135))</f>
        <v>132</v>
      </c>
      <c r="S2">
        <f>COUNTA(_xlfn.UNIQUE(Hierarchy!N2:N135))</f>
        <v>134</v>
      </c>
      <c r="T2">
        <f>COUNTA(_xlfn.UNIQUE(Hierarchy!O2:O135))</f>
        <v>134</v>
      </c>
    </row>
    <row r="3" spans="1:20" x14ac:dyDescent="0.2">
      <c r="A3" t="s">
        <v>24</v>
      </c>
      <c r="B3" t="str" cm="1">
        <f t="array" ref="B3">IF(SUMPRODUCT(--(TRIM(IFERROR(_xlfn.TEXTSPLIT(_xlfn.TEXTJOIN(",",TRUE,Sheet2!$C$2:$C$1006),","),""))=A3))&gt;0,"Yes","No")</f>
        <v>Yes</v>
      </c>
      <c r="C3" cm="1">
        <f t="array" ref="C3">SUMPRODUCT(--(TRIM(IFERROR(_xlfn.TEXTSPLIT(_xlfn.TEXTJOIN(",",TRUE,Sheet2!$C$2:$C$1006),","),""))=A3))</f>
        <v>1</v>
      </c>
    </row>
    <row r="4" spans="1:20" x14ac:dyDescent="0.2">
      <c r="A4" t="s">
        <v>26</v>
      </c>
      <c r="B4" t="str" cm="1">
        <f t="array" ref="B4">IF(SUMPRODUCT(--(TRIM(IFERROR(_xlfn.TEXTSPLIT(_xlfn.TEXTJOIN(",",TRUE,Sheet2!$C$2:$C$1006),","),""))=A4))&gt;0,"Yes","No")</f>
        <v>Yes</v>
      </c>
      <c r="C4" cm="1">
        <f t="array" ref="C4">SUMPRODUCT(--(TRIM(IFERROR(_xlfn.TEXTSPLIT(_xlfn.TEXTJOIN(",",TRUE,Sheet2!$C$2:$C$1006),","),""))=A4))</f>
        <v>1</v>
      </c>
    </row>
    <row r="5" spans="1:20" x14ac:dyDescent="0.2">
      <c r="A5" t="s">
        <v>28</v>
      </c>
      <c r="B5" t="str" cm="1">
        <f t="array" ref="B5">IF(SUMPRODUCT(--(TRIM(IFERROR(_xlfn.TEXTSPLIT(_xlfn.TEXTJOIN(",",TRUE,Sheet2!$C$2:$C$1006),","),""))=A5))&gt;0,"Yes","No")</f>
        <v>Yes</v>
      </c>
      <c r="C5" cm="1">
        <f t="array" ref="C5">SUMPRODUCT(--(TRIM(IFERROR(_xlfn.TEXTSPLIT(_xlfn.TEXTJOIN(",",TRUE,Sheet2!$C$2:$C$1006),","),""))=A5))</f>
        <v>1</v>
      </c>
    </row>
    <row r="6" spans="1:20" x14ac:dyDescent="0.2">
      <c r="A6" t="s">
        <v>30</v>
      </c>
      <c r="B6" t="str" cm="1">
        <f t="array" ref="B6">IF(SUMPRODUCT(--(TRIM(IFERROR(_xlfn.TEXTSPLIT(_xlfn.TEXTJOIN(",",TRUE,Sheet2!$C$2:$C$1006),","),""))=A6))&gt;0,"Yes","No")</f>
        <v>Yes</v>
      </c>
      <c r="C6" cm="1">
        <f t="array" ref="C6">SUMPRODUCT(--(TRIM(IFERROR(_xlfn.TEXTSPLIT(_xlfn.TEXTJOIN(",",TRUE,Sheet2!$C$2:$C$1006),","),""))=A6))</f>
        <v>1</v>
      </c>
    </row>
    <row r="7" spans="1:20" x14ac:dyDescent="0.2">
      <c r="A7" t="s">
        <v>32</v>
      </c>
      <c r="B7" t="str" cm="1">
        <f t="array" ref="B7">IF(SUMPRODUCT(--(TRIM(IFERROR(_xlfn.TEXTSPLIT(_xlfn.TEXTJOIN(",",TRUE,Sheet2!$C$2:$C$1006),","),""))=A7))&gt;0,"Yes","No")</f>
        <v>Yes</v>
      </c>
      <c r="C7" cm="1">
        <f t="array" ref="C7">SUMPRODUCT(--(TRIM(IFERROR(_xlfn.TEXTSPLIT(_xlfn.TEXTJOIN(",",TRUE,Sheet2!$C$2:$C$1006),","),""))=A7))</f>
        <v>1</v>
      </c>
    </row>
    <row r="8" spans="1:20" x14ac:dyDescent="0.2">
      <c r="A8" t="s">
        <v>34</v>
      </c>
      <c r="B8" t="str" cm="1">
        <f t="array" ref="B8">IF(SUMPRODUCT(--(TRIM(IFERROR(_xlfn.TEXTSPLIT(_xlfn.TEXTJOIN(",",TRUE,Sheet2!$C$2:$C$1006),","),""))=A8))&gt;0,"Yes","No")</f>
        <v>Yes</v>
      </c>
      <c r="C8" cm="1">
        <f t="array" ref="C8">SUMPRODUCT(--(TRIM(IFERROR(_xlfn.TEXTSPLIT(_xlfn.TEXTJOIN(",",TRUE,Sheet2!$C$2:$C$1006),","),""))=A8))</f>
        <v>1</v>
      </c>
    </row>
    <row r="9" spans="1:20" x14ac:dyDescent="0.2">
      <c r="A9" t="s">
        <v>35</v>
      </c>
      <c r="B9" t="str" cm="1">
        <f t="array" ref="B9">IF(SUMPRODUCT(--(TRIM(IFERROR(_xlfn.TEXTSPLIT(_xlfn.TEXTJOIN(",",TRUE,Sheet2!$C$2:$C$1006),","),""))=A9))&gt;0,"Yes","No")</f>
        <v>Yes</v>
      </c>
      <c r="C9" cm="1">
        <f t="array" ref="C9">SUMPRODUCT(--(TRIM(IFERROR(_xlfn.TEXTSPLIT(_xlfn.TEXTJOIN(",",TRUE,Sheet2!$C$2:$C$1006),","),""))=A9))</f>
        <v>1</v>
      </c>
    </row>
    <row r="10" spans="1:20" x14ac:dyDescent="0.2">
      <c r="A10" t="s">
        <v>39</v>
      </c>
      <c r="B10" t="str" cm="1">
        <f t="array" ref="B10">IF(SUMPRODUCT(--(TRIM(IFERROR(_xlfn.TEXTSPLIT(_xlfn.TEXTJOIN(",",TRUE,Sheet2!$C$2:$C$1006),","),""))=A10))&gt;0,"Yes","No")</f>
        <v>Yes</v>
      </c>
      <c r="C10" cm="1">
        <f t="array" ref="C10">SUMPRODUCT(--(TRIM(IFERROR(_xlfn.TEXTSPLIT(_xlfn.TEXTJOIN(",",TRUE,Sheet2!$C$2:$C$1006),","),""))=A10))</f>
        <v>1</v>
      </c>
    </row>
    <row r="11" spans="1:20" x14ac:dyDescent="0.2">
      <c r="A11" t="s">
        <v>42</v>
      </c>
      <c r="B11" t="str" cm="1">
        <f t="array" ref="B11">IF(SUMPRODUCT(--(TRIM(IFERROR(_xlfn.TEXTSPLIT(_xlfn.TEXTJOIN(",",TRUE,Sheet2!$C$2:$C$1006),","),""))=A11))&gt;0,"Yes","No")</f>
        <v>Yes</v>
      </c>
      <c r="C11" cm="1">
        <f t="array" ref="C11">SUMPRODUCT(--(TRIM(IFERROR(_xlfn.TEXTSPLIT(_xlfn.TEXTJOIN(",",TRUE,Sheet2!$C$2:$C$1006),","),""))=A11))</f>
        <v>1</v>
      </c>
    </row>
    <row r="12" spans="1:20" x14ac:dyDescent="0.2">
      <c r="A12" t="s">
        <v>43</v>
      </c>
      <c r="B12" t="str" cm="1">
        <f t="array" ref="B12">IF(SUMPRODUCT(--(TRIM(IFERROR(_xlfn.TEXTSPLIT(_xlfn.TEXTJOIN(",",TRUE,Sheet2!$C$2:$C$1006),","),""))=A12))&gt;0,"Yes","No")</f>
        <v>Yes</v>
      </c>
      <c r="C12" cm="1">
        <f t="array" ref="C12">SUMPRODUCT(--(TRIM(IFERROR(_xlfn.TEXTSPLIT(_xlfn.TEXTJOIN(",",TRUE,Sheet2!$C$2:$C$1006),","),""))=A12))</f>
        <v>1</v>
      </c>
    </row>
    <row r="13" spans="1:20" x14ac:dyDescent="0.2">
      <c r="A13" t="s">
        <v>44</v>
      </c>
      <c r="B13" t="str" cm="1">
        <f t="array" ref="B13">IF(SUMPRODUCT(--(TRIM(IFERROR(_xlfn.TEXTSPLIT(_xlfn.TEXTJOIN(",",TRUE,Sheet2!$C$2:$C$1006),","),""))=A13))&gt;0,"Yes","No")</f>
        <v>Yes</v>
      </c>
      <c r="C13" cm="1">
        <f t="array" ref="C13">SUMPRODUCT(--(TRIM(IFERROR(_xlfn.TEXTSPLIT(_xlfn.TEXTJOIN(",",TRUE,Sheet2!$C$2:$C$1006),","),""))=A13))</f>
        <v>1</v>
      </c>
    </row>
    <row r="14" spans="1:20" x14ac:dyDescent="0.2">
      <c r="A14" t="s">
        <v>49</v>
      </c>
      <c r="B14" t="str" cm="1">
        <f t="array" ref="B14">IF(SUMPRODUCT(--(TRIM(IFERROR(_xlfn.TEXTSPLIT(_xlfn.TEXTJOIN(",",TRUE,Sheet2!$C$2:$C$1006),","),""))=A14))&gt;0,"Yes","No")</f>
        <v>Yes</v>
      </c>
      <c r="C14" cm="1">
        <f t="array" ref="C14">SUMPRODUCT(--(TRIM(IFERROR(_xlfn.TEXTSPLIT(_xlfn.TEXTJOIN(",",TRUE,Sheet2!$C$2:$C$1006),","),""))=A14))</f>
        <v>1</v>
      </c>
    </row>
    <row r="15" spans="1:20" x14ac:dyDescent="0.2">
      <c r="A15" t="s">
        <v>50</v>
      </c>
      <c r="B15" t="str" cm="1">
        <f t="array" ref="B15">IF(SUMPRODUCT(--(TRIM(IFERROR(_xlfn.TEXTSPLIT(_xlfn.TEXTJOIN(",",TRUE,Sheet2!$C$2:$C$1006),","),""))=A15))&gt;0,"Yes","No")</f>
        <v>Yes</v>
      </c>
      <c r="C15" cm="1">
        <f t="array" ref="C15">SUMPRODUCT(--(TRIM(IFERROR(_xlfn.TEXTSPLIT(_xlfn.TEXTJOIN(",",TRUE,Sheet2!$C$2:$C$1006),","),""))=A15))</f>
        <v>1</v>
      </c>
    </row>
    <row r="16" spans="1:20" x14ac:dyDescent="0.2">
      <c r="A16" t="s">
        <v>53</v>
      </c>
      <c r="B16" t="str" cm="1">
        <f t="array" ref="B16">IF(SUMPRODUCT(--(TRIM(IFERROR(_xlfn.TEXTSPLIT(_xlfn.TEXTJOIN(",",TRUE,Sheet2!$C$2:$C$1006),","),""))=A16))&gt;0,"Yes","No")</f>
        <v>Yes</v>
      </c>
      <c r="C16" cm="1">
        <f t="array" ref="C16">SUMPRODUCT(--(TRIM(IFERROR(_xlfn.TEXTSPLIT(_xlfn.TEXTJOIN(",",TRUE,Sheet2!$C$2:$C$1006),","),""))=A16))</f>
        <v>1</v>
      </c>
    </row>
    <row r="17" spans="1:3" x14ac:dyDescent="0.2">
      <c r="A17" t="s">
        <v>55</v>
      </c>
      <c r="B17" t="str" cm="1">
        <f t="array" ref="B17">IF(SUMPRODUCT(--(TRIM(IFERROR(_xlfn.TEXTSPLIT(_xlfn.TEXTJOIN(",",TRUE,Sheet2!$C$2:$C$1006),","),""))=A17))&gt;0,"Yes","No")</f>
        <v>Yes</v>
      </c>
      <c r="C17" cm="1">
        <f t="array" ref="C17">SUMPRODUCT(--(TRIM(IFERROR(_xlfn.TEXTSPLIT(_xlfn.TEXTJOIN(",",TRUE,Sheet2!$C$2:$C$1006),","),""))=A17))</f>
        <v>1</v>
      </c>
    </row>
    <row r="18" spans="1:3" x14ac:dyDescent="0.2">
      <c r="A18" t="s">
        <v>56</v>
      </c>
      <c r="B18" t="str" cm="1">
        <f t="array" ref="B18">IF(SUMPRODUCT(--(TRIM(IFERROR(_xlfn.TEXTSPLIT(_xlfn.TEXTJOIN(",",TRUE,Sheet2!$C$2:$C$1006),","),""))=A18))&gt;0,"Yes","No")</f>
        <v>Yes</v>
      </c>
      <c r="C18" cm="1">
        <f t="array" ref="C18">SUMPRODUCT(--(TRIM(IFERROR(_xlfn.TEXTSPLIT(_xlfn.TEXTJOIN(",",TRUE,Sheet2!$C$2:$C$1006),","),""))=A18))</f>
        <v>1</v>
      </c>
    </row>
    <row r="19" spans="1:3" x14ac:dyDescent="0.2">
      <c r="A19" t="s">
        <v>60</v>
      </c>
      <c r="B19" t="str" cm="1">
        <f t="array" ref="B19">IF(SUMPRODUCT(--(TRIM(IFERROR(_xlfn.TEXTSPLIT(_xlfn.TEXTJOIN(",",TRUE,Sheet2!$C$2:$C$1006),","),""))=A19))&gt;0,"Yes","No")</f>
        <v>Yes</v>
      </c>
      <c r="C19" cm="1">
        <f t="array" ref="C19">SUMPRODUCT(--(TRIM(IFERROR(_xlfn.TEXTSPLIT(_xlfn.TEXTJOIN(",",TRUE,Sheet2!$C$2:$C$1006),","),""))=A19))</f>
        <v>1</v>
      </c>
    </row>
    <row r="20" spans="1:3" x14ac:dyDescent="0.2">
      <c r="A20" t="s">
        <v>61</v>
      </c>
      <c r="B20" t="str" cm="1">
        <f t="array" ref="B20">IF(SUMPRODUCT(--(TRIM(IFERROR(_xlfn.TEXTSPLIT(_xlfn.TEXTJOIN(",",TRUE,Sheet2!$C$2:$C$1006),","),""))=A20))&gt;0,"Yes","No")</f>
        <v>Yes</v>
      </c>
      <c r="C20" cm="1">
        <f t="array" ref="C20">SUMPRODUCT(--(TRIM(IFERROR(_xlfn.TEXTSPLIT(_xlfn.TEXTJOIN(",",TRUE,Sheet2!$C$2:$C$1006),","),""))=A20))</f>
        <v>1</v>
      </c>
    </row>
    <row r="21" spans="1:3" x14ac:dyDescent="0.2">
      <c r="A21" t="s">
        <v>63</v>
      </c>
      <c r="B21" t="str" cm="1">
        <f t="array" ref="B21">IF(SUMPRODUCT(--(TRIM(IFERROR(_xlfn.TEXTSPLIT(_xlfn.TEXTJOIN(",",TRUE,Sheet2!$C$2:$C$1006),","),""))=A21))&gt;0,"Yes","No")</f>
        <v>Yes</v>
      </c>
      <c r="C21" cm="1">
        <f t="array" ref="C21">SUMPRODUCT(--(TRIM(IFERROR(_xlfn.TEXTSPLIT(_xlfn.TEXTJOIN(",",TRUE,Sheet2!$C$2:$C$1006),","),""))=A21))</f>
        <v>1</v>
      </c>
    </row>
    <row r="22" spans="1:3" x14ac:dyDescent="0.2">
      <c r="A22" t="s">
        <v>64</v>
      </c>
      <c r="B22" t="str" cm="1">
        <f t="array" ref="B22">IF(SUMPRODUCT(--(TRIM(IFERROR(_xlfn.TEXTSPLIT(_xlfn.TEXTJOIN(",",TRUE,Sheet2!$C$2:$C$1006),","),""))=A22))&gt;0,"Yes","No")</f>
        <v>Yes</v>
      </c>
      <c r="C22" cm="1">
        <f t="array" ref="C22">SUMPRODUCT(--(TRIM(IFERROR(_xlfn.TEXTSPLIT(_xlfn.TEXTJOIN(",",TRUE,Sheet2!$C$2:$C$1006),","),""))=A22))</f>
        <v>1</v>
      </c>
    </row>
    <row r="23" spans="1:3" x14ac:dyDescent="0.2">
      <c r="A23" t="s">
        <v>67</v>
      </c>
      <c r="B23" t="str" cm="1">
        <f t="array" ref="B23">IF(SUMPRODUCT(--(TRIM(IFERROR(_xlfn.TEXTSPLIT(_xlfn.TEXTJOIN(",",TRUE,Sheet2!$C$2:$C$1006),","),""))=A23))&gt;0,"Yes","No")</f>
        <v>Yes</v>
      </c>
      <c r="C23" cm="1">
        <f t="array" ref="C23">SUMPRODUCT(--(TRIM(IFERROR(_xlfn.TEXTSPLIT(_xlfn.TEXTJOIN(",",TRUE,Sheet2!$C$2:$C$1006),","),""))=A23))</f>
        <v>1</v>
      </c>
    </row>
    <row r="24" spans="1:3" x14ac:dyDescent="0.2">
      <c r="A24" t="s">
        <v>68</v>
      </c>
      <c r="B24" t="str" cm="1">
        <f t="array" ref="B24">IF(SUMPRODUCT(--(TRIM(IFERROR(_xlfn.TEXTSPLIT(_xlfn.TEXTJOIN(",",TRUE,Sheet2!$C$2:$C$1006),","),""))=A24))&gt;0,"Yes","No")</f>
        <v>Yes</v>
      </c>
      <c r="C24" cm="1">
        <f t="array" ref="C24">SUMPRODUCT(--(TRIM(IFERROR(_xlfn.TEXTSPLIT(_xlfn.TEXTJOIN(",",TRUE,Sheet2!$C$2:$C$1006),","),""))=A24))</f>
        <v>1</v>
      </c>
    </row>
    <row r="25" spans="1:3" x14ac:dyDescent="0.2">
      <c r="A25" t="s">
        <v>72</v>
      </c>
      <c r="B25" t="str" cm="1">
        <f t="array" ref="B25">IF(SUMPRODUCT(--(TRIM(IFERROR(_xlfn.TEXTSPLIT(_xlfn.TEXTJOIN(",",TRUE,Sheet2!$C$2:$C$1006),","),""))=A25))&gt;0,"Yes","No")</f>
        <v>Yes</v>
      </c>
      <c r="C25" cm="1">
        <f t="array" ref="C25">SUMPRODUCT(--(TRIM(IFERROR(_xlfn.TEXTSPLIT(_xlfn.TEXTJOIN(",",TRUE,Sheet2!$C$2:$C$1006),","),""))=A25))</f>
        <v>1</v>
      </c>
    </row>
    <row r="26" spans="1:3" x14ac:dyDescent="0.2">
      <c r="A26" t="s">
        <v>73</v>
      </c>
      <c r="B26" t="str" cm="1">
        <f t="array" ref="B26">IF(SUMPRODUCT(--(TRIM(IFERROR(_xlfn.TEXTSPLIT(_xlfn.TEXTJOIN(",",TRUE,Sheet2!$C$2:$C$1006),","),""))=A26))&gt;0,"Yes","No")</f>
        <v>Yes</v>
      </c>
      <c r="C26" cm="1">
        <f t="array" ref="C26">SUMPRODUCT(--(TRIM(IFERROR(_xlfn.TEXTSPLIT(_xlfn.TEXTJOIN(",",TRUE,Sheet2!$C$2:$C$1006),","),""))=A26))</f>
        <v>1</v>
      </c>
    </row>
    <row r="27" spans="1:3" x14ac:dyDescent="0.2">
      <c r="A27" t="s">
        <v>75</v>
      </c>
      <c r="B27" t="str" cm="1">
        <f t="array" ref="B27">IF(SUMPRODUCT(--(TRIM(IFERROR(_xlfn.TEXTSPLIT(_xlfn.TEXTJOIN(",",TRUE,Sheet2!$C$2:$C$1006),","),""))=A27))&gt;0,"Yes","No")</f>
        <v>Yes</v>
      </c>
      <c r="C27" cm="1">
        <f t="array" ref="C27">SUMPRODUCT(--(TRIM(IFERROR(_xlfn.TEXTSPLIT(_xlfn.TEXTJOIN(",",TRUE,Sheet2!$C$2:$C$1006),","),""))=A27))</f>
        <v>1</v>
      </c>
    </row>
    <row r="28" spans="1:3" x14ac:dyDescent="0.2">
      <c r="A28" t="s">
        <v>76</v>
      </c>
      <c r="B28" t="str" cm="1">
        <f t="array" ref="B28">IF(SUMPRODUCT(--(TRIM(IFERROR(_xlfn.TEXTSPLIT(_xlfn.TEXTJOIN(",",TRUE,Sheet2!$C$2:$C$1006),","),""))=A28))&gt;0,"Yes","No")</f>
        <v>Yes</v>
      </c>
      <c r="C28" cm="1">
        <f t="array" ref="C28">SUMPRODUCT(--(TRIM(IFERROR(_xlfn.TEXTSPLIT(_xlfn.TEXTJOIN(",",TRUE,Sheet2!$C$2:$C$1006),","),""))=A28))</f>
        <v>1</v>
      </c>
    </row>
    <row r="29" spans="1:3" x14ac:dyDescent="0.2">
      <c r="A29" t="s">
        <v>82</v>
      </c>
      <c r="B29" t="str" cm="1">
        <f t="array" ref="B29">IF(SUMPRODUCT(--(TRIM(IFERROR(_xlfn.TEXTSPLIT(_xlfn.TEXTJOIN(",",TRUE,Sheet2!$C$2:$C$1006),","),""))=A29))&gt;0,"Yes","No")</f>
        <v>Yes</v>
      </c>
      <c r="C29" cm="1">
        <f t="array" ref="C29">SUMPRODUCT(--(TRIM(IFERROR(_xlfn.TEXTSPLIT(_xlfn.TEXTJOIN(",",TRUE,Sheet2!$C$2:$C$1006),","),""))=A29))</f>
        <v>1</v>
      </c>
    </row>
    <row r="30" spans="1:3" x14ac:dyDescent="0.2">
      <c r="A30" t="s">
        <v>85</v>
      </c>
      <c r="B30" t="str" cm="1">
        <f t="array" ref="B30">IF(SUMPRODUCT(--(TRIM(IFERROR(_xlfn.TEXTSPLIT(_xlfn.TEXTJOIN(",",TRUE,Sheet2!$C$2:$C$1006),","),""))=A30))&gt;0,"Yes","No")</f>
        <v>Yes</v>
      </c>
      <c r="C30" cm="1">
        <f t="array" ref="C30">SUMPRODUCT(--(TRIM(IFERROR(_xlfn.TEXTSPLIT(_xlfn.TEXTJOIN(",",TRUE,Sheet2!$C$2:$C$1006),","),""))=A30))</f>
        <v>1</v>
      </c>
    </row>
    <row r="31" spans="1:3" x14ac:dyDescent="0.2">
      <c r="A31" t="s">
        <v>86</v>
      </c>
      <c r="B31" t="str" cm="1">
        <f t="array" ref="B31">IF(SUMPRODUCT(--(TRIM(IFERROR(_xlfn.TEXTSPLIT(_xlfn.TEXTJOIN(",",TRUE,Sheet2!$C$2:$C$1006),","),""))=A31))&gt;0,"Yes","No")</f>
        <v>Yes</v>
      </c>
      <c r="C31" cm="1">
        <f t="array" ref="C31">SUMPRODUCT(--(TRIM(IFERROR(_xlfn.TEXTSPLIT(_xlfn.TEXTJOIN(",",TRUE,Sheet2!$C$2:$C$1006),","),""))=A31))</f>
        <v>1</v>
      </c>
    </row>
    <row r="32" spans="1:3" x14ac:dyDescent="0.2">
      <c r="A32" t="s">
        <v>87</v>
      </c>
      <c r="B32" t="str" cm="1">
        <f t="array" ref="B32">IF(SUMPRODUCT(--(TRIM(IFERROR(_xlfn.TEXTSPLIT(_xlfn.TEXTJOIN(",",TRUE,Sheet2!$C$2:$C$1006),","),""))=A32))&gt;0,"Yes","No")</f>
        <v>Yes</v>
      </c>
      <c r="C32" cm="1">
        <f t="array" ref="C32">SUMPRODUCT(--(TRIM(IFERROR(_xlfn.TEXTSPLIT(_xlfn.TEXTJOIN(",",TRUE,Sheet2!$C$2:$C$1006),","),""))=A32))</f>
        <v>1</v>
      </c>
    </row>
    <row r="33" spans="1:3" x14ac:dyDescent="0.2">
      <c r="A33" t="s">
        <v>91</v>
      </c>
      <c r="B33" t="str" cm="1">
        <f t="array" ref="B33">IF(SUMPRODUCT(--(TRIM(IFERROR(_xlfn.TEXTSPLIT(_xlfn.TEXTJOIN(",",TRUE,Sheet2!$C$2:$C$1006),","),""))=A33))&gt;0,"Yes","No")</f>
        <v>Yes</v>
      </c>
      <c r="C33" cm="1">
        <f t="array" ref="C33">SUMPRODUCT(--(TRIM(IFERROR(_xlfn.TEXTSPLIT(_xlfn.TEXTJOIN(",",TRUE,Sheet2!$C$2:$C$1006),","),""))=A33))</f>
        <v>1</v>
      </c>
    </row>
    <row r="34" spans="1:3" x14ac:dyDescent="0.2">
      <c r="A34" t="s">
        <v>96</v>
      </c>
      <c r="B34" t="str" cm="1">
        <f t="array" ref="B34">IF(SUMPRODUCT(--(TRIM(IFERROR(_xlfn.TEXTSPLIT(_xlfn.TEXTJOIN(",",TRUE,Sheet2!$C$2:$C$1006),","),""))=A34))&gt;0,"Yes","No")</f>
        <v>Yes</v>
      </c>
      <c r="C34" cm="1">
        <f t="array" ref="C34">SUMPRODUCT(--(TRIM(IFERROR(_xlfn.TEXTSPLIT(_xlfn.TEXTJOIN(",",TRUE,Sheet2!$C$2:$C$1006),","),""))=A34))</f>
        <v>1</v>
      </c>
    </row>
    <row r="35" spans="1:3" x14ac:dyDescent="0.2">
      <c r="A35" t="s">
        <v>99</v>
      </c>
      <c r="B35" t="str" cm="1">
        <f t="array" ref="B35">IF(SUMPRODUCT(--(TRIM(IFERROR(_xlfn.TEXTSPLIT(_xlfn.TEXTJOIN(",",TRUE,Sheet2!$C$2:$C$1006),","),""))=A35))&gt;0,"Yes","No")</f>
        <v>Yes</v>
      </c>
      <c r="C35" cm="1">
        <f t="array" ref="C35">SUMPRODUCT(--(TRIM(IFERROR(_xlfn.TEXTSPLIT(_xlfn.TEXTJOIN(",",TRUE,Sheet2!$C$2:$C$1006),","),""))=A35))</f>
        <v>1</v>
      </c>
    </row>
    <row r="36" spans="1:3" x14ac:dyDescent="0.2">
      <c r="A36" t="s">
        <v>100</v>
      </c>
      <c r="B36" t="str" cm="1">
        <f t="array" ref="B36">IF(SUMPRODUCT(--(TRIM(IFERROR(_xlfn.TEXTSPLIT(_xlfn.TEXTJOIN(",",TRUE,Sheet2!$C$2:$C$1006),","),""))=A36))&gt;0,"Yes","No")</f>
        <v>Yes</v>
      </c>
      <c r="C36" cm="1">
        <f t="array" ref="C36">SUMPRODUCT(--(TRIM(IFERROR(_xlfn.TEXTSPLIT(_xlfn.TEXTJOIN(",",TRUE,Sheet2!$C$2:$C$1006),","),""))=A36))</f>
        <v>1</v>
      </c>
    </row>
    <row r="37" spans="1:3" x14ac:dyDescent="0.2">
      <c r="A37" t="s">
        <v>106</v>
      </c>
      <c r="B37" t="str" cm="1">
        <f t="array" ref="B37">IF(SUMPRODUCT(--(TRIM(IFERROR(_xlfn.TEXTSPLIT(_xlfn.TEXTJOIN(",",TRUE,Sheet2!$C$2:$C$1006),","),""))=A37))&gt;0,"Yes","No")</f>
        <v>Yes</v>
      </c>
      <c r="C37" cm="1">
        <f t="array" ref="C37">SUMPRODUCT(--(TRIM(IFERROR(_xlfn.TEXTSPLIT(_xlfn.TEXTJOIN(",",TRUE,Sheet2!$C$2:$C$1006),","),""))=A37))</f>
        <v>1</v>
      </c>
    </row>
    <row r="38" spans="1:3" x14ac:dyDescent="0.2">
      <c r="A38" t="s">
        <v>108</v>
      </c>
      <c r="B38" t="str" cm="1">
        <f t="array" ref="B38">IF(SUMPRODUCT(--(TRIM(IFERROR(_xlfn.TEXTSPLIT(_xlfn.TEXTJOIN(",",TRUE,Sheet2!$C$2:$C$1006),","),""))=A38))&gt;0,"Yes","No")</f>
        <v>Yes</v>
      </c>
      <c r="C38" cm="1">
        <f t="array" ref="C38">SUMPRODUCT(--(TRIM(IFERROR(_xlfn.TEXTSPLIT(_xlfn.TEXTJOIN(",",TRUE,Sheet2!$C$2:$C$1006),","),""))=A38))</f>
        <v>1</v>
      </c>
    </row>
    <row r="39" spans="1:3" x14ac:dyDescent="0.2">
      <c r="A39" t="s">
        <v>111</v>
      </c>
      <c r="B39" t="str" cm="1">
        <f t="array" ref="B39">IF(SUMPRODUCT(--(TRIM(IFERROR(_xlfn.TEXTSPLIT(_xlfn.TEXTJOIN(",",TRUE,Sheet2!$C$2:$C$1006),","),""))=A39))&gt;0,"Yes","No")</f>
        <v>Yes</v>
      </c>
      <c r="C39" cm="1">
        <f t="array" ref="C39">SUMPRODUCT(--(TRIM(IFERROR(_xlfn.TEXTSPLIT(_xlfn.TEXTJOIN(",",TRUE,Sheet2!$C$2:$C$1006),","),""))=A39))</f>
        <v>1</v>
      </c>
    </row>
    <row r="40" spans="1:3" x14ac:dyDescent="0.2">
      <c r="A40" t="s">
        <v>113</v>
      </c>
      <c r="B40" t="str" cm="1">
        <f t="array" ref="B40">IF(SUMPRODUCT(--(TRIM(IFERROR(_xlfn.TEXTSPLIT(_xlfn.TEXTJOIN(",",TRUE,Sheet2!$C$2:$C$1006),","),""))=A40))&gt;0,"Yes","No")</f>
        <v>Yes</v>
      </c>
      <c r="C40" cm="1">
        <f t="array" ref="C40">SUMPRODUCT(--(TRIM(IFERROR(_xlfn.TEXTSPLIT(_xlfn.TEXTJOIN(",",TRUE,Sheet2!$C$2:$C$1006),","),""))=A40))</f>
        <v>1</v>
      </c>
    </row>
    <row r="41" spans="1:3" x14ac:dyDescent="0.2">
      <c r="A41" t="s">
        <v>115</v>
      </c>
      <c r="B41" t="str" cm="1">
        <f t="array" ref="B41">IF(SUMPRODUCT(--(TRIM(IFERROR(_xlfn.TEXTSPLIT(_xlfn.TEXTJOIN(",",TRUE,Sheet2!$C$2:$C$1006),","),""))=A41))&gt;0,"Yes","No")</f>
        <v>Yes</v>
      </c>
      <c r="C41" cm="1">
        <f t="array" ref="C41">SUMPRODUCT(--(TRIM(IFERROR(_xlfn.TEXTSPLIT(_xlfn.TEXTJOIN(",",TRUE,Sheet2!$C$2:$C$1006),","),""))=A41))</f>
        <v>1</v>
      </c>
    </row>
    <row r="42" spans="1:3" x14ac:dyDescent="0.2">
      <c r="A42" t="s">
        <v>116</v>
      </c>
      <c r="B42" t="str" cm="1">
        <f t="array" ref="B42">IF(SUMPRODUCT(--(TRIM(IFERROR(_xlfn.TEXTSPLIT(_xlfn.TEXTJOIN(",",TRUE,Sheet2!$C$2:$C$1006),","),""))=A42))&gt;0,"Yes","No")</f>
        <v>Yes</v>
      </c>
      <c r="C42" cm="1">
        <f t="array" ref="C42">SUMPRODUCT(--(TRIM(IFERROR(_xlfn.TEXTSPLIT(_xlfn.TEXTJOIN(",",TRUE,Sheet2!$C$2:$C$1006),","),""))=A42))</f>
        <v>1</v>
      </c>
    </row>
    <row r="43" spans="1:3" x14ac:dyDescent="0.2">
      <c r="A43" t="s">
        <v>117</v>
      </c>
      <c r="B43" t="str" cm="1">
        <f t="array" ref="B43">IF(SUMPRODUCT(--(TRIM(IFERROR(_xlfn.TEXTSPLIT(_xlfn.TEXTJOIN(",",TRUE,Sheet2!$C$2:$C$1006),","),""))=A43))&gt;0,"Yes","No")</f>
        <v>Yes</v>
      </c>
      <c r="C43" cm="1">
        <f t="array" ref="C43">SUMPRODUCT(--(TRIM(IFERROR(_xlfn.TEXTSPLIT(_xlfn.TEXTJOIN(",",TRUE,Sheet2!$C$2:$C$1006),","),""))=A43))</f>
        <v>1</v>
      </c>
    </row>
    <row r="44" spans="1:3" x14ac:dyDescent="0.2">
      <c r="A44" t="s">
        <v>121</v>
      </c>
      <c r="B44" t="str" cm="1">
        <f t="array" ref="B44">IF(SUMPRODUCT(--(TRIM(IFERROR(_xlfn.TEXTSPLIT(_xlfn.TEXTJOIN(",",TRUE,Sheet2!$C$2:$C$1006),","),""))=A44))&gt;0,"Yes","No")</f>
        <v>Yes</v>
      </c>
      <c r="C44" cm="1">
        <f t="array" ref="C44">SUMPRODUCT(--(TRIM(IFERROR(_xlfn.TEXTSPLIT(_xlfn.TEXTJOIN(",",TRUE,Sheet2!$C$2:$C$1006),","),""))=A44))</f>
        <v>1</v>
      </c>
    </row>
    <row r="45" spans="1:3" x14ac:dyDescent="0.2">
      <c r="A45" t="s">
        <v>122</v>
      </c>
      <c r="B45" t="str" cm="1">
        <f t="array" ref="B45">IF(SUMPRODUCT(--(TRIM(IFERROR(_xlfn.TEXTSPLIT(_xlfn.TEXTJOIN(",",TRUE,Sheet2!$C$2:$C$1006),","),""))=A45))&gt;0,"Yes","No")</f>
        <v>Yes</v>
      </c>
      <c r="C45" cm="1">
        <f t="array" ref="C45">SUMPRODUCT(--(TRIM(IFERROR(_xlfn.TEXTSPLIT(_xlfn.TEXTJOIN(",",TRUE,Sheet2!$C$2:$C$1006),","),""))=A45))</f>
        <v>1</v>
      </c>
    </row>
    <row r="46" spans="1:3" x14ac:dyDescent="0.2">
      <c r="A46" t="s">
        <v>123</v>
      </c>
      <c r="B46" t="str" cm="1">
        <f t="array" ref="B46">IF(SUMPRODUCT(--(TRIM(IFERROR(_xlfn.TEXTSPLIT(_xlfn.TEXTJOIN(",",TRUE,Sheet2!$C$2:$C$1006),","),""))=A46))&gt;0,"Yes","No")</f>
        <v>Yes</v>
      </c>
      <c r="C46" cm="1">
        <f t="array" ref="C46">SUMPRODUCT(--(TRIM(IFERROR(_xlfn.TEXTSPLIT(_xlfn.TEXTJOIN(",",TRUE,Sheet2!$C$2:$C$1006),","),""))=A46))</f>
        <v>1</v>
      </c>
    </row>
    <row r="47" spans="1:3" x14ac:dyDescent="0.2">
      <c r="A47" t="s">
        <v>126</v>
      </c>
      <c r="B47" t="str" cm="1">
        <f t="array" ref="B47">IF(SUMPRODUCT(--(TRIM(IFERROR(_xlfn.TEXTSPLIT(_xlfn.TEXTJOIN(",",TRUE,Sheet2!$C$2:$C$1006),","),""))=A47))&gt;0,"Yes","No")</f>
        <v>Yes</v>
      </c>
      <c r="C47" cm="1">
        <f t="array" ref="C47">SUMPRODUCT(--(TRIM(IFERROR(_xlfn.TEXTSPLIT(_xlfn.TEXTJOIN(",",TRUE,Sheet2!$C$2:$C$1006),","),""))=A47))</f>
        <v>1</v>
      </c>
    </row>
    <row r="48" spans="1:3" x14ac:dyDescent="0.2">
      <c r="A48" t="s">
        <v>129</v>
      </c>
      <c r="B48" t="str" cm="1">
        <f t="array" ref="B48">IF(SUMPRODUCT(--(TRIM(IFERROR(_xlfn.TEXTSPLIT(_xlfn.TEXTJOIN(",",TRUE,Sheet2!$C$2:$C$1006),","),""))=A48))&gt;0,"Yes","No")</f>
        <v>Yes</v>
      </c>
      <c r="C48" cm="1">
        <f t="array" ref="C48">SUMPRODUCT(--(TRIM(IFERROR(_xlfn.TEXTSPLIT(_xlfn.TEXTJOIN(",",TRUE,Sheet2!$C$2:$C$1006),","),""))=A48))</f>
        <v>1</v>
      </c>
    </row>
    <row r="49" spans="1:3" x14ac:dyDescent="0.2">
      <c r="A49" t="s">
        <v>133</v>
      </c>
      <c r="B49" t="str" cm="1">
        <f t="array" ref="B49">IF(SUMPRODUCT(--(TRIM(IFERROR(_xlfn.TEXTSPLIT(_xlfn.TEXTJOIN(",",TRUE,Sheet2!$C$2:$C$1006),","),""))=A49))&gt;0,"Yes","No")</f>
        <v>Yes</v>
      </c>
      <c r="C49" cm="1">
        <f t="array" ref="C49">SUMPRODUCT(--(TRIM(IFERROR(_xlfn.TEXTSPLIT(_xlfn.TEXTJOIN(",",TRUE,Sheet2!$C$2:$C$1006),","),""))=A49))</f>
        <v>1</v>
      </c>
    </row>
    <row r="50" spans="1:3" x14ac:dyDescent="0.2">
      <c r="A50" t="s">
        <v>138</v>
      </c>
      <c r="B50" t="str" cm="1">
        <f t="array" ref="B50">IF(SUMPRODUCT(--(TRIM(IFERROR(_xlfn.TEXTSPLIT(_xlfn.TEXTJOIN(",",TRUE,Sheet2!$C$2:$C$1006),","),""))=A50))&gt;0,"Yes","No")</f>
        <v>Yes</v>
      </c>
      <c r="C50" cm="1">
        <f t="array" ref="C50">SUMPRODUCT(--(TRIM(IFERROR(_xlfn.TEXTSPLIT(_xlfn.TEXTJOIN(",",TRUE,Sheet2!$C$2:$C$1006),","),""))=A50))</f>
        <v>1</v>
      </c>
    </row>
    <row r="51" spans="1:3" x14ac:dyDescent="0.2">
      <c r="A51" t="s">
        <v>140</v>
      </c>
      <c r="B51" t="str" cm="1">
        <f t="array" ref="B51">IF(SUMPRODUCT(--(TRIM(IFERROR(_xlfn.TEXTSPLIT(_xlfn.TEXTJOIN(",",TRUE,Sheet2!$C$2:$C$1006),","),""))=A51))&gt;0,"Yes","No")</f>
        <v>Yes</v>
      </c>
      <c r="C51" cm="1">
        <f t="array" ref="C51">SUMPRODUCT(--(TRIM(IFERROR(_xlfn.TEXTSPLIT(_xlfn.TEXTJOIN(",",TRUE,Sheet2!$C$2:$C$1006),","),""))=A51))</f>
        <v>1</v>
      </c>
    </row>
    <row r="52" spans="1:3" x14ac:dyDescent="0.2">
      <c r="A52" t="s">
        <v>141</v>
      </c>
      <c r="B52" t="str" cm="1">
        <f t="array" ref="B52">IF(SUMPRODUCT(--(TRIM(IFERROR(_xlfn.TEXTSPLIT(_xlfn.TEXTJOIN(",",TRUE,Sheet2!$C$2:$C$1006),","),""))=A52))&gt;0,"Yes","No")</f>
        <v>Yes</v>
      </c>
      <c r="C52" cm="1">
        <f t="array" ref="C52">SUMPRODUCT(--(TRIM(IFERROR(_xlfn.TEXTSPLIT(_xlfn.TEXTJOIN(",",TRUE,Sheet2!$C$2:$C$1006),","),""))=A52))</f>
        <v>1</v>
      </c>
    </row>
    <row r="53" spans="1:3" x14ac:dyDescent="0.2">
      <c r="A53" t="s">
        <v>142</v>
      </c>
      <c r="B53" t="str" cm="1">
        <f t="array" ref="B53">IF(SUMPRODUCT(--(TRIM(IFERROR(_xlfn.TEXTSPLIT(_xlfn.TEXTJOIN(",",TRUE,Sheet2!$C$2:$C$1006),","),""))=A53))&gt;0,"Yes","No")</f>
        <v>Yes</v>
      </c>
      <c r="C53" cm="1">
        <f t="array" ref="C53">SUMPRODUCT(--(TRIM(IFERROR(_xlfn.TEXTSPLIT(_xlfn.TEXTJOIN(",",TRUE,Sheet2!$C$2:$C$1006),","),""))=A53))</f>
        <v>1</v>
      </c>
    </row>
    <row r="54" spans="1:3" x14ac:dyDescent="0.2">
      <c r="A54" t="s">
        <v>144</v>
      </c>
      <c r="B54" t="str" cm="1">
        <f t="array" ref="B54">IF(SUMPRODUCT(--(TRIM(IFERROR(_xlfn.TEXTSPLIT(_xlfn.TEXTJOIN(",",TRUE,Sheet2!$C$2:$C$1006),","),""))=A54))&gt;0,"Yes","No")</f>
        <v>Yes</v>
      </c>
      <c r="C54" cm="1">
        <f t="array" ref="C54">SUMPRODUCT(--(TRIM(IFERROR(_xlfn.TEXTSPLIT(_xlfn.TEXTJOIN(",",TRUE,Sheet2!$C$2:$C$1006),","),""))=A54))</f>
        <v>1</v>
      </c>
    </row>
    <row r="55" spans="1:3" x14ac:dyDescent="0.2">
      <c r="A55" t="s">
        <v>145</v>
      </c>
      <c r="B55" t="str" cm="1">
        <f t="array" ref="B55">IF(SUMPRODUCT(--(TRIM(IFERROR(_xlfn.TEXTSPLIT(_xlfn.TEXTJOIN(",",TRUE,Sheet2!$C$2:$C$1006),","),""))=A55))&gt;0,"Yes","No")</f>
        <v>Yes</v>
      </c>
      <c r="C55" cm="1">
        <f t="array" ref="C55">SUMPRODUCT(--(TRIM(IFERROR(_xlfn.TEXTSPLIT(_xlfn.TEXTJOIN(",",TRUE,Sheet2!$C$2:$C$1006),","),""))=A55))</f>
        <v>1</v>
      </c>
    </row>
    <row r="56" spans="1:3" x14ac:dyDescent="0.2">
      <c r="A56" t="s">
        <v>147</v>
      </c>
      <c r="B56" t="str" cm="1">
        <f t="array" ref="B56">IF(SUMPRODUCT(--(TRIM(IFERROR(_xlfn.TEXTSPLIT(_xlfn.TEXTJOIN(",",TRUE,Sheet2!$C$2:$C$1006),","),""))=A56))&gt;0,"Yes","No")</f>
        <v>Yes</v>
      </c>
      <c r="C56" cm="1">
        <f t="array" ref="C56">SUMPRODUCT(--(TRIM(IFERROR(_xlfn.TEXTSPLIT(_xlfn.TEXTJOIN(",",TRUE,Sheet2!$C$2:$C$1006),","),""))=A56))</f>
        <v>1</v>
      </c>
    </row>
    <row r="57" spans="1:3" x14ac:dyDescent="0.2">
      <c r="A57" t="s">
        <v>148</v>
      </c>
      <c r="B57" t="str" cm="1">
        <f t="array" ref="B57">IF(SUMPRODUCT(--(TRIM(IFERROR(_xlfn.TEXTSPLIT(_xlfn.TEXTJOIN(",",TRUE,Sheet2!$C$2:$C$1006),","),""))=A57))&gt;0,"Yes","No")</f>
        <v>Yes</v>
      </c>
      <c r="C57" cm="1">
        <f t="array" ref="C57">SUMPRODUCT(--(TRIM(IFERROR(_xlfn.TEXTSPLIT(_xlfn.TEXTJOIN(",",TRUE,Sheet2!$C$2:$C$1006),","),""))=A57))</f>
        <v>1</v>
      </c>
    </row>
    <row r="58" spans="1:3" x14ac:dyDescent="0.2">
      <c r="A58" t="s">
        <v>152</v>
      </c>
      <c r="B58" t="str" cm="1">
        <f t="array" ref="B58">IF(SUMPRODUCT(--(TRIM(IFERROR(_xlfn.TEXTSPLIT(_xlfn.TEXTJOIN(",",TRUE,Sheet2!$C$2:$C$1006),","),""))=A58))&gt;0,"Yes","No")</f>
        <v>Yes</v>
      </c>
      <c r="C58" cm="1">
        <f t="array" ref="C58">SUMPRODUCT(--(TRIM(IFERROR(_xlfn.TEXTSPLIT(_xlfn.TEXTJOIN(",",TRUE,Sheet2!$C$2:$C$1006),","),""))=A58))</f>
        <v>1</v>
      </c>
    </row>
    <row r="59" spans="1:3" x14ac:dyDescent="0.2">
      <c r="A59" t="s">
        <v>153</v>
      </c>
      <c r="B59" t="str" cm="1">
        <f t="array" ref="B59">IF(SUMPRODUCT(--(TRIM(IFERROR(_xlfn.TEXTSPLIT(_xlfn.TEXTJOIN(",",TRUE,Sheet2!$C$2:$C$1006),","),""))=A59))&gt;0,"Yes","No")</f>
        <v>Yes</v>
      </c>
      <c r="C59" cm="1">
        <f t="array" ref="C59">SUMPRODUCT(--(TRIM(IFERROR(_xlfn.TEXTSPLIT(_xlfn.TEXTJOIN(",",TRUE,Sheet2!$C$2:$C$1006),","),""))=A59))</f>
        <v>1</v>
      </c>
    </row>
    <row r="60" spans="1:3" x14ac:dyDescent="0.2">
      <c r="A60" t="s">
        <v>156</v>
      </c>
      <c r="B60" t="str" cm="1">
        <f t="array" ref="B60">IF(SUMPRODUCT(--(TRIM(IFERROR(_xlfn.TEXTSPLIT(_xlfn.TEXTJOIN(",",TRUE,Sheet2!$C$2:$C$1006),","),""))=A60))&gt;0,"Yes","No")</f>
        <v>Yes</v>
      </c>
      <c r="C60" cm="1">
        <f t="array" ref="C60">SUMPRODUCT(--(TRIM(IFERROR(_xlfn.TEXTSPLIT(_xlfn.TEXTJOIN(",",TRUE,Sheet2!$C$2:$C$1006),","),""))=A60))</f>
        <v>1</v>
      </c>
    </row>
    <row r="61" spans="1:3" x14ac:dyDescent="0.2">
      <c r="A61" t="s">
        <v>159</v>
      </c>
      <c r="B61" t="str" cm="1">
        <f t="array" ref="B61">IF(SUMPRODUCT(--(TRIM(IFERROR(_xlfn.TEXTSPLIT(_xlfn.TEXTJOIN(",",TRUE,Sheet2!$C$2:$C$1006),","),""))=A61))&gt;0,"Yes","No")</f>
        <v>Yes</v>
      </c>
      <c r="C61" cm="1">
        <f t="array" ref="C61">SUMPRODUCT(--(TRIM(IFERROR(_xlfn.TEXTSPLIT(_xlfn.TEXTJOIN(",",TRUE,Sheet2!$C$2:$C$1006),","),""))=A61))</f>
        <v>1</v>
      </c>
    </row>
    <row r="62" spans="1:3" x14ac:dyDescent="0.2">
      <c r="A62" t="s">
        <v>163</v>
      </c>
      <c r="B62" t="str" cm="1">
        <f t="array" ref="B62">IF(SUMPRODUCT(--(TRIM(IFERROR(_xlfn.TEXTSPLIT(_xlfn.TEXTJOIN(",",TRUE,Sheet2!$C$2:$C$1006),","),""))=A62))&gt;0,"Yes","No")</f>
        <v>Yes</v>
      </c>
      <c r="C62" cm="1">
        <f t="array" ref="C62">SUMPRODUCT(--(TRIM(IFERROR(_xlfn.TEXTSPLIT(_xlfn.TEXTJOIN(",",TRUE,Sheet2!$C$2:$C$1006),","),""))=A62))</f>
        <v>1</v>
      </c>
    </row>
    <row r="63" spans="1:3" x14ac:dyDescent="0.2">
      <c r="A63" t="s">
        <v>164</v>
      </c>
      <c r="B63" t="str" cm="1">
        <f t="array" ref="B63">IF(SUMPRODUCT(--(TRIM(IFERROR(_xlfn.TEXTSPLIT(_xlfn.TEXTJOIN(",",TRUE,Sheet2!$C$2:$C$1006),","),""))=A63))&gt;0,"Yes","No")</f>
        <v>Yes</v>
      </c>
      <c r="C63" cm="1">
        <f t="array" ref="C63">SUMPRODUCT(--(TRIM(IFERROR(_xlfn.TEXTSPLIT(_xlfn.TEXTJOIN(",",TRUE,Sheet2!$C$2:$C$1006),","),""))=A63))</f>
        <v>1</v>
      </c>
    </row>
    <row r="64" spans="1:3" x14ac:dyDescent="0.2">
      <c r="A64" t="s">
        <v>165</v>
      </c>
      <c r="B64" t="str" cm="1">
        <f t="array" ref="B64">IF(SUMPRODUCT(--(TRIM(IFERROR(_xlfn.TEXTSPLIT(_xlfn.TEXTJOIN(",",TRUE,Sheet2!$C$2:$C$1006),","),""))=A64))&gt;0,"Yes","No")</f>
        <v>Yes</v>
      </c>
      <c r="C64" cm="1">
        <f t="array" ref="C64">SUMPRODUCT(--(TRIM(IFERROR(_xlfn.TEXTSPLIT(_xlfn.TEXTJOIN(",",TRUE,Sheet2!$C$2:$C$1006),","),""))=A64))</f>
        <v>1</v>
      </c>
    </row>
    <row r="65" spans="1:3" x14ac:dyDescent="0.2">
      <c r="A65" t="s">
        <v>166</v>
      </c>
      <c r="B65" t="str" cm="1">
        <f t="array" ref="B65">IF(SUMPRODUCT(--(TRIM(IFERROR(_xlfn.TEXTSPLIT(_xlfn.TEXTJOIN(",",TRUE,Sheet2!$C$2:$C$1006),","),""))=A65))&gt;0,"Yes","No")</f>
        <v>Yes</v>
      </c>
      <c r="C65" cm="1">
        <f t="array" ref="C65">SUMPRODUCT(--(TRIM(IFERROR(_xlfn.TEXTSPLIT(_xlfn.TEXTJOIN(",",TRUE,Sheet2!$C$2:$C$1006),","),""))=A65))</f>
        <v>1</v>
      </c>
    </row>
    <row r="66" spans="1:3" x14ac:dyDescent="0.2">
      <c r="A66" t="s">
        <v>167</v>
      </c>
      <c r="B66" t="str" cm="1">
        <f t="array" ref="B66">IF(SUMPRODUCT(--(TRIM(IFERROR(_xlfn.TEXTSPLIT(_xlfn.TEXTJOIN(",",TRUE,Sheet2!$C$2:$C$1006),","),""))=A66))&gt;0,"Yes","No")</f>
        <v>Yes</v>
      </c>
      <c r="C66" cm="1">
        <f t="array" ref="C66">SUMPRODUCT(--(TRIM(IFERROR(_xlfn.TEXTSPLIT(_xlfn.TEXTJOIN(",",TRUE,Sheet2!$C$2:$C$1006),","),""))=A66))</f>
        <v>1</v>
      </c>
    </row>
    <row r="67" spans="1:3" x14ac:dyDescent="0.2">
      <c r="A67" t="s">
        <v>168</v>
      </c>
      <c r="B67" t="str" cm="1">
        <f t="array" ref="B67">IF(SUMPRODUCT(--(TRIM(IFERROR(_xlfn.TEXTSPLIT(_xlfn.TEXTJOIN(",",TRUE,Sheet2!$C$2:$C$1006),","),""))=A67))&gt;0,"Yes","No")</f>
        <v>Yes</v>
      </c>
      <c r="C67" cm="1">
        <f t="array" ref="C67">SUMPRODUCT(--(TRIM(IFERROR(_xlfn.TEXTSPLIT(_xlfn.TEXTJOIN(",",TRUE,Sheet2!$C$2:$C$1006),","),""))=A67))</f>
        <v>1</v>
      </c>
    </row>
    <row r="68" spans="1:3" x14ac:dyDescent="0.2">
      <c r="A68" t="s">
        <v>169</v>
      </c>
      <c r="B68" t="str" cm="1">
        <f t="array" ref="B68">IF(SUMPRODUCT(--(TRIM(IFERROR(_xlfn.TEXTSPLIT(_xlfn.TEXTJOIN(",",TRUE,Sheet2!$C$2:$C$1006),","),""))=A68))&gt;0,"Yes","No")</f>
        <v>Yes</v>
      </c>
      <c r="C68" cm="1">
        <f t="array" ref="C68">SUMPRODUCT(--(TRIM(IFERROR(_xlfn.TEXTSPLIT(_xlfn.TEXTJOIN(",",TRUE,Sheet2!$C$2:$C$1006),","),""))=A68))</f>
        <v>1</v>
      </c>
    </row>
    <row r="69" spans="1:3" x14ac:dyDescent="0.2">
      <c r="A69" t="s">
        <v>170</v>
      </c>
      <c r="B69" t="str" cm="1">
        <f t="array" ref="B69">IF(SUMPRODUCT(--(TRIM(IFERROR(_xlfn.TEXTSPLIT(_xlfn.TEXTJOIN(",",TRUE,Sheet2!$C$2:$C$1006),","),""))=A69))&gt;0,"Yes","No")</f>
        <v>Yes</v>
      </c>
      <c r="C69" cm="1">
        <f t="array" ref="C69">SUMPRODUCT(--(TRIM(IFERROR(_xlfn.TEXTSPLIT(_xlfn.TEXTJOIN(",",TRUE,Sheet2!$C$2:$C$1006),","),""))=A69))</f>
        <v>1</v>
      </c>
    </row>
    <row r="70" spans="1:3" x14ac:dyDescent="0.2">
      <c r="A70" t="s">
        <v>171</v>
      </c>
      <c r="B70" t="str" cm="1">
        <f t="array" ref="B70">IF(SUMPRODUCT(--(TRIM(IFERROR(_xlfn.TEXTSPLIT(_xlfn.TEXTJOIN(",",TRUE,Sheet2!$C$2:$C$1006),","),""))=A70))&gt;0,"Yes","No")</f>
        <v>Yes</v>
      </c>
      <c r="C70" cm="1">
        <f t="array" ref="C70">SUMPRODUCT(--(TRIM(IFERROR(_xlfn.TEXTSPLIT(_xlfn.TEXTJOIN(",",TRUE,Sheet2!$C$2:$C$1006),","),""))=A70))</f>
        <v>1</v>
      </c>
    </row>
    <row r="71" spans="1:3" x14ac:dyDescent="0.2">
      <c r="A71" t="s">
        <v>172</v>
      </c>
      <c r="B71" t="str" cm="1">
        <f t="array" ref="B71">IF(SUMPRODUCT(--(TRIM(IFERROR(_xlfn.TEXTSPLIT(_xlfn.TEXTJOIN(",",TRUE,Sheet2!$C$2:$C$1006),","),""))=A71))&gt;0,"Yes","No")</f>
        <v>Yes</v>
      </c>
      <c r="C71" cm="1">
        <f t="array" ref="C71">SUMPRODUCT(--(TRIM(IFERROR(_xlfn.TEXTSPLIT(_xlfn.TEXTJOIN(",",TRUE,Sheet2!$C$2:$C$1006),","),""))=A71))</f>
        <v>1</v>
      </c>
    </row>
    <row r="72" spans="1:3" x14ac:dyDescent="0.2">
      <c r="A72" t="s">
        <v>173</v>
      </c>
      <c r="B72" t="str" cm="1">
        <f t="array" ref="B72">IF(SUMPRODUCT(--(TRIM(IFERROR(_xlfn.TEXTSPLIT(_xlfn.TEXTJOIN(",",TRUE,Sheet2!$C$2:$C$1006),","),""))=A72))&gt;0,"Yes","No")</f>
        <v>Yes</v>
      </c>
      <c r="C72" cm="1">
        <f t="array" ref="C72">SUMPRODUCT(--(TRIM(IFERROR(_xlfn.TEXTSPLIT(_xlfn.TEXTJOIN(",",TRUE,Sheet2!$C$2:$C$1006),","),""))=A72))</f>
        <v>1</v>
      </c>
    </row>
    <row r="73" spans="1:3" x14ac:dyDescent="0.2">
      <c r="A73" t="s">
        <v>175</v>
      </c>
      <c r="B73" t="str" cm="1">
        <f t="array" ref="B73">IF(SUMPRODUCT(--(TRIM(IFERROR(_xlfn.TEXTSPLIT(_xlfn.TEXTJOIN(",",TRUE,Sheet2!$C$2:$C$1006),","),""))=A73))&gt;0,"Yes","No")</f>
        <v>Yes</v>
      </c>
      <c r="C73" cm="1">
        <f t="array" ref="C73">SUMPRODUCT(--(TRIM(IFERROR(_xlfn.TEXTSPLIT(_xlfn.TEXTJOIN(",",TRUE,Sheet2!$C$2:$C$1006),","),""))=A73))</f>
        <v>1</v>
      </c>
    </row>
    <row r="74" spans="1:3" x14ac:dyDescent="0.2">
      <c r="A74" t="s">
        <v>176</v>
      </c>
      <c r="B74" t="str" cm="1">
        <f t="array" ref="B74">IF(SUMPRODUCT(--(TRIM(IFERROR(_xlfn.TEXTSPLIT(_xlfn.TEXTJOIN(",",TRUE,Sheet2!$C$2:$C$1006),","),""))=A74))&gt;0,"Yes","No")</f>
        <v>Yes</v>
      </c>
      <c r="C74" cm="1">
        <f t="array" ref="C74">SUMPRODUCT(--(TRIM(IFERROR(_xlfn.TEXTSPLIT(_xlfn.TEXTJOIN(",",TRUE,Sheet2!$C$2:$C$1006),","),""))=A74))</f>
        <v>1</v>
      </c>
    </row>
    <row r="75" spans="1:3" x14ac:dyDescent="0.2">
      <c r="A75" t="s">
        <v>177</v>
      </c>
      <c r="B75" t="str" cm="1">
        <f t="array" ref="B75">IF(SUMPRODUCT(--(TRIM(IFERROR(_xlfn.TEXTSPLIT(_xlfn.TEXTJOIN(",",TRUE,Sheet2!$C$2:$C$1006),","),""))=A75))&gt;0,"Yes","No")</f>
        <v>Yes</v>
      </c>
      <c r="C75" cm="1">
        <f t="array" ref="C75">SUMPRODUCT(--(TRIM(IFERROR(_xlfn.TEXTSPLIT(_xlfn.TEXTJOIN(",",TRUE,Sheet2!$C$2:$C$1006),","),""))=A75))</f>
        <v>1</v>
      </c>
    </row>
    <row r="76" spans="1:3" x14ac:dyDescent="0.2">
      <c r="A76" t="s">
        <v>179</v>
      </c>
      <c r="B76" t="str" cm="1">
        <f t="array" ref="B76">IF(SUMPRODUCT(--(TRIM(IFERROR(_xlfn.TEXTSPLIT(_xlfn.TEXTJOIN(",",TRUE,Sheet2!$C$2:$C$1006),","),""))=A76))&gt;0,"Yes","No")</f>
        <v>Yes</v>
      </c>
      <c r="C76" cm="1">
        <f t="array" ref="C76">SUMPRODUCT(--(TRIM(IFERROR(_xlfn.TEXTSPLIT(_xlfn.TEXTJOIN(",",TRUE,Sheet2!$C$2:$C$1006),","),""))=A76))</f>
        <v>1</v>
      </c>
    </row>
    <row r="77" spans="1:3" x14ac:dyDescent="0.2">
      <c r="A77" t="s">
        <v>180</v>
      </c>
      <c r="B77" t="str" cm="1">
        <f t="array" ref="B77">IF(SUMPRODUCT(--(TRIM(IFERROR(_xlfn.TEXTSPLIT(_xlfn.TEXTJOIN(",",TRUE,Sheet2!$C$2:$C$1006),","),""))=A77))&gt;0,"Yes","No")</f>
        <v>Yes</v>
      </c>
      <c r="C77" cm="1">
        <f t="array" ref="C77">SUMPRODUCT(--(TRIM(IFERROR(_xlfn.TEXTSPLIT(_xlfn.TEXTJOIN(",",TRUE,Sheet2!$C$2:$C$1006),","),""))=A77))</f>
        <v>1</v>
      </c>
    </row>
    <row r="78" spans="1:3" x14ac:dyDescent="0.2">
      <c r="A78" t="s">
        <v>181</v>
      </c>
      <c r="B78" t="str" cm="1">
        <f t="array" ref="B78">IF(SUMPRODUCT(--(TRIM(IFERROR(_xlfn.TEXTSPLIT(_xlfn.TEXTJOIN(",",TRUE,Sheet2!$C$2:$C$1006),","),""))=A78))&gt;0,"Yes","No")</f>
        <v>Yes</v>
      </c>
      <c r="C78" cm="1">
        <f t="array" ref="C78">SUMPRODUCT(--(TRIM(IFERROR(_xlfn.TEXTSPLIT(_xlfn.TEXTJOIN(",",TRUE,Sheet2!$C$2:$C$1006),","),""))=A78))</f>
        <v>1</v>
      </c>
    </row>
    <row r="79" spans="1:3" x14ac:dyDescent="0.2">
      <c r="A79" t="s">
        <v>182</v>
      </c>
      <c r="B79" t="str" cm="1">
        <f t="array" ref="B79">IF(SUMPRODUCT(--(TRIM(IFERROR(_xlfn.TEXTSPLIT(_xlfn.TEXTJOIN(",",TRUE,Sheet2!$C$2:$C$1006),","),""))=A79))&gt;0,"Yes","No")</f>
        <v>Yes</v>
      </c>
      <c r="C79" cm="1">
        <f t="array" ref="C79">SUMPRODUCT(--(TRIM(IFERROR(_xlfn.TEXTSPLIT(_xlfn.TEXTJOIN(",",TRUE,Sheet2!$C$2:$C$1006),","),""))=A79))</f>
        <v>1</v>
      </c>
    </row>
    <row r="80" spans="1:3" x14ac:dyDescent="0.2">
      <c r="A80" t="s">
        <v>183</v>
      </c>
      <c r="B80" t="str" cm="1">
        <f t="array" ref="B80">IF(SUMPRODUCT(--(TRIM(IFERROR(_xlfn.TEXTSPLIT(_xlfn.TEXTJOIN(",",TRUE,Sheet2!$C$2:$C$1006),","),""))=A80))&gt;0,"Yes","No")</f>
        <v>Yes</v>
      </c>
      <c r="C80" cm="1">
        <f t="array" ref="C80">SUMPRODUCT(--(TRIM(IFERROR(_xlfn.TEXTSPLIT(_xlfn.TEXTJOIN(",",TRUE,Sheet2!$C$2:$C$1006),","),""))=A80))</f>
        <v>1</v>
      </c>
    </row>
    <row r="81" spans="1:3" x14ac:dyDescent="0.2">
      <c r="A81" t="s">
        <v>184</v>
      </c>
      <c r="B81" t="str" cm="1">
        <f t="array" ref="B81">IF(SUMPRODUCT(--(TRIM(IFERROR(_xlfn.TEXTSPLIT(_xlfn.TEXTJOIN(",",TRUE,Sheet2!$C$2:$C$1006),","),""))=A81))&gt;0,"Yes","No")</f>
        <v>Yes</v>
      </c>
      <c r="C81" cm="1">
        <f t="array" ref="C81">SUMPRODUCT(--(TRIM(IFERROR(_xlfn.TEXTSPLIT(_xlfn.TEXTJOIN(",",TRUE,Sheet2!$C$2:$C$1006),","),""))=A81))</f>
        <v>1</v>
      </c>
    </row>
    <row r="82" spans="1:3" x14ac:dyDescent="0.2">
      <c r="A82" t="s">
        <v>188</v>
      </c>
      <c r="B82" t="str" cm="1">
        <f t="array" ref="B82">IF(SUMPRODUCT(--(TRIM(IFERROR(_xlfn.TEXTSPLIT(_xlfn.TEXTJOIN(",",TRUE,Sheet2!$C$2:$C$1006),","),""))=A82))&gt;0,"Yes","No")</f>
        <v>Yes</v>
      </c>
      <c r="C82" cm="1">
        <f t="array" ref="C82">SUMPRODUCT(--(TRIM(IFERROR(_xlfn.TEXTSPLIT(_xlfn.TEXTJOIN(",",TRUE,Sheet2!$C$2:$C$1006),","),""))=A82))</f>
        <v>1</v>
      </c>
    </row>
    <row r="83" spans="1:3" x14ac:dyDescent="0.2">
      <c r="A83" t="s">
        <v>189</v>
      </c>
      <c r="B83" t="str" cm="1">
        <f t="array" ref="B83">IF(SUMPRODUCT(--(TRIM(IFERROR(_xlfn.TEXTSPLIT(_xlfn.TEXTJOIN(",",TRUE,Sheet2!$C$2:$C$1006),","),""))=A83))&gt;0,"Yes","No")</f>
        <v>Yes</v>
      </c>
      <c r="C83" cm="1">
        <f t="array" ref="C83">SUMPRODUCT(--(TRIM(IFERROR(_xlfn.TEXTSPLIT(_xlfn.TEXTJOIN(",",TRUE,Sheet2!$C$2:$C$1006),","),""))=A83))</f>
        <v>1</v>
      </c>
    </row>
    <row r="84" spans="1:3" x14ac:dyDescent="0.2">
      <c r="A84" t="s">
        <v>190</v>
      </c>
      <c r="B84" t="str" cm="1">
        <f t="array" ref="B84">IF(SUMPRODUCT(--(TRIM(IFERROR(_xlfn.TEXTSPLIT(_xlfn.TEXTJOIN(",",TRUE,Sheet2!$C$2:$C$1006),","),""))=A84))&gt;0,"Yes","No")</f>
        <v>Yes</v>
      </c>
      <c r="C84" cm="1">
        <f t="array" ref="C84">SUMPRODUCT(--(TRIM(IFERROR(_xlfn.TEXTSPLIT(_xlfn.TEXTJOIN(",",TRUE,Sheet2!$C$2:$C$1006),","),""))=A84))</f>
        <v>1</v>
      </c>
    </row>
    <row r="85" spans="1:3" x14ac:dyDescent="0.2">
      <c r="A85" t="s">
        <v>191</v>
      </c>
      <c r="B85" t="str" cm="1">
        <f t="array" ref="B85">IF(SUMPRODUCT(--(TRIM(IFERROR(_xlfn.TEXTSPLIT(_xlfn.TEXTJOIN(",",TRUE,Sheet2!$C$2:$C$1006),","),""))=A85))&gt;0,"Yes","No")</f>
        <v>Yes</v>
      </c>
      <c r="C85" cm="1">
        <f t="array" ref="C85">SUMPRODUCT(--(TRIM(IFERROR(_xlfn.TEXTSPLIT(_xlfn.TEXTJOIN(",",TRUE,Sheet2!$C$2:$C$1006),","),""))=A85))</f>
        <v>1</v>
      </c>
    </row>
    <row r="86" spans="1:3" x14ac:dyDescent="0.2">
      <c r="A86" t="s">
        <v>192</v>
      </c>
      <c r="B86" t="str" cm="1">
        <f t="array" ref="B86">IF(SUMPRODUCT(--(TRIM(IFERROR(_xlfn.TEXTSPLIT(_xlfn.TEXTJOIN(",",TRUE,Sheet2!$C$2:$C$1006),","),""))=A86))&gt;0,"Yes","No")</f>
        <v>Yes</v>
      </c>
      <c r="C86" cm="1">
        <f t="array" ref="C86">SUMPRODUCT(--(TRIM(IFERROR(_xlfn.TEXTSPLIT(_xlfn.TEXTJOIN(",",TRUE,Sheet2!$C$2:$C$1006),","),""))=A86))</f>
        <v>1</v>
      </c>
    </row>
    <row r="87" spans="1:3" x14ac:dyDescent="0.2">
      <c r="A87" t="s">
        <v>193</v>
      </c>
      <c r="B87" t="str" cm="1">
        <f t="array" ref="B87">IF(SUMPRODUCT(--(TRIM(IFERROR(_xlfn.TEXTSPLIT(_xlfn.TEXTJOIN(",",TRUE,Sheet2!$C$2:$C$1006),","),""))=A87))&gt;0,"Yes","No")</f>
        <v>Yes</v>
      </c>
      <c r="C87" cm="1">
        <f t="array" ref="C87">SUMPRODUCT(--(TRIM(IFERROR(_xlfn.TEXTSPLIT(_xlfn.TEXTJOIN(",",TRUE,Sheet2!$C$2:$C$1006),","),""))=A87))</f>
        <v>1</v>
      </c>
    </row>
    <row r="88" spans="1:3" x14ac:dyDescent="0.2">
      <c r="A88" t="s">
        <v>194</v>
      </c>
      <c r="B88" t="str" cm="1">
        <f t="array" ref="B88">IF(SUMPRODUCT(--(TRIM(IFERROR(_xlfn.TEXTSPLIT(_xlfn.TEXTJOIN(",",TRUE,Sheet2!$C$2:$C$1006),","),""))=A88))&gt;0,"Yes","No")</f>
        <v>Yes</v>
      </c>
      <c r="C88" cm="1">
        <f t="array" ref="C88">SUMPRODUCT(--(TRIM(IFERROR(_xlfn.TEXTSPLIT(_xlfn.TEXTJOIN(",",TRUE,Sheet2!$C$2:$C$1006),","),""))=A88))</f>
        <v>1</v>
      </c>
    </row>
    <row r="89" spans="1:3" x14ac:dyDescent="0.2">
      <c r="A89" t="s">
        <v>197</v>
      </c>
      <c r="B89" t="str" cm="1">
        <f t="array" ref="B89">IF(SUMPRODUCT(--(TRIM(IFERROR(_xlfn.TEXTSPLIT(_xlfn.TEXTJOIN(",",TRUE,Sheet2!$C$2:$C$1006),","),""))=A89))&gt;0,"Yes","No")</f>
        <v>Yes</v>
      </c>
      <c r="C89" cm="1">
        <f t="array" ref="C89">SUMPRODUCT(--(TRIM(IFERROR(_xlfn.TEXTSPLIT(_xlfn.TEXTJOIN(",",TRUE,Sheet2!$C$2:$C$1006),","),""))=A89))</f>
        <v>1</v>
      </c>
    </row>
    <row r="90" spans="1:3" x14ac:dyDescent="0.2">
      <c r="A90" t="s">
        <v>201</v>
      </c>
      <c r="B90" t="str" cm="1">
        <f t="array" ref="B90">IF(SUMPRODUCT(--(TRIM(IFERROR(_xlfn.TEXTSPLIT(_xlfn.TEXTJOIN(",",TRUE,Sheet2!$C$2:$C$1006),","),""))=A90))&gt;0,"Yes","No")</f>
        <v>Yes</v>
      </c>
      <c r="C90" cm="1">
        <f t="array" ref="C90">SUMPRODUCT(--(TRIM(IFERROR(_xlfn.TEXTSPLIT(_xlfn.TEXTJOIN(",",TRUE,Sheet2!$C$2:$C$1006),","),""))=A90))</f>
        <v>1</v>
      </c>
    </row>
    <row r="91" spans="1:3" x14ac:dyDescent="0.2">
      <c r="A91" t="s">
        <v>207</v>
      </c>
      <c r="B91" t="str" cm="1">
        <f t="array" ref="B91">IF(SUMPRODUCT(--(TRIM(IFERROR(_xlfn.TEXTSPLIT(_xlfn.TEXTJOIN(",",TRUE,Sheet2!$C$2:$C$1006),","),""))=A91))&gt;0,"Yes","No")</f>
        <v>Yes</v>
      </c>
      <c r="C91" cm="1">
        <f t="array" ref="C91">SUMPRODUCT(--(TRIM(IFERROR(_xlfn.TEXTSPLIT(_xlfn.TEXTJOIN(",",TRUE,Sheet2!$C$2:$C$1006),","),""))=A91))</f>
        <v>1</v>
      </c>
    </row>
    <row r="92" spans="1:3" x14ac:dyDescent="0.2">
      <c r="A92" t="s">
        <v>209</v>
      </c>
      <c r="B92" t="str" cm="1">
        <f t="array" ref="B92">IF(SUMPRODUCT(--(TRIM(IFERROR(_xlfn.TEXTSPLIT(_xlfn.TEXTJOIN(",",TRUE,Sheet2!$C$2:$C$1006),","),""))=A92))&gt;0,"Yes","No")</f>
        <v>Yes</v>
      </c>
      <c r="C92" cm="1">
        <f t="array" ref="C92">SUMPRODUCT(--(TRIM(IFERROR(_xlfn.TEXTSPLIT(_xlfn.TEXTJOIN(",",TRUE,Sheet2!$C$2:$C$1006),","),""))=A92))</f>
        <v>1</v>
      </c>
    </row>
    <row r="93" spans="1:3" x14ac:dyDescent="0.2">
      <c r="A93" t="s">
        <v>213</v>
      </c>
      <c r="B93" t="str" cm="1">
        <f t="array" ref="B93">IF(SUMPRODUCT(--(TRIM(IFERROR(_xlfn.TEXTSPLIT(_xlfn.TEXTJOIN(",",TRUE,Sheet2!$C$2:$C$1006),","),""))=A93))&gt;0,"Yes","No")</f>
        <v>Yes</v>
      </c>
      <c r="C93" cm="1">
        <f t="array" ref="C93">SUMPRODUCT(--(TRIM(IFERROR(_xlfn.TEXTSPLIT(_xlfn.TEXTJOIN(",",TRUE,Sheet2!$C$2:$C$1006),","),""))=A93))</f>
        <v>1</v>
      </c>
    </row>
    <row r="94" spans="1:3" x14ac:dyDescent="0.2">
      <c r="A94" t="s">
        <v>216</v>
      </c>
      <c r="B94" t="str" cm="1">
        <f t="array" ref="B94">IF(SUMPRODUCT(--(TRIM(IFERROR(_xlfn.TEXTSPLIT(_xlfn.TEXTJOIN(",",TRUE,Sheet2!$C$2:$C$1006),","),""))=A94))&gt;0,"Yes","No")</f>
        <v>Yes</v>
      </c>
      <c r="C94" cm="1">
        <f t="array" ref="C94">SUMPRODUCT(--(TRIM(IFERROR(_xlfn.TEXTSPLIT(_xlfn.TEXTJOIN(",",TRUE,Sheet2!$C$2:$C$1006),","),""))=A94))</f>
        <v>1</v>
      </c>
    </row>
    <row r="95" spans="1:3" x14ac:dyDescent="0.2">
      <c r="A95" t="s">
        <v>219</v>
      </c>
      <c r="B95" t="str" cm="1">
        <f t="array" ref="B95">IF(SUMPRODUCT(--(TRIM(IFERROR(_xlfn.TEXTSPLIT(_xlfn.TEXTJOIN(",",TRUE,Sheet2!$C$2:$C$1006),","),""))=A95))&gt;0,"Yes","No")</f>
        <v>Yes</v>
      </c>
      <c r="C95" cm="1">
        <f t="array" ref="C95">SUMPRODUCT(--(TRIM(IFERROR(_xlfn.TEXTSPLIT(_xlfn.TEXTJOIN(",",TRUE,Sheet2!$C$2:$C$1006),","),""))=A95))</f>
        <v>1</v>
      </c>
    </row>
    <row r="96" spans="1:3" x14ac:dyDescent="0.2">
      <c r="A96" t="s">
        <v>221</v>
      </c>
      <c r="B96" t="str" cm="1">
        <f t="array" ref="B96">IF(SUMPRODUCT(--(TRIM(IFERROR(_xlfn.TEXTSPLIT(_xlfn.TEXTJOIN(",",TRUE,Sheet2!$C$2:$C$1006),","),""))=A96))&gt;0,"Yes","No")</f>
        <v>Yes</v>
      </c>
      <c r="C96" cm="1">
        <f t="array" ref="C96">SUMPRODUCT(--(TRIM(IFERROR(_xlfn.TEXTSPLIT(_xlfn.TEXTJOIN(",",TRUE,Sheet2!$C$2:$C$1006),","),""))=A96))</f>
        <v>1</v>
      </c>
    </row>
    <row r="97" spans="1:3" x14ac:dyDescent="0.2">
      <c r="A97" t="s">
        <v>225</v>
      </c>
      <c r="B97" t="str" cm="1">
        <f t="array" ref="B97">IF(SUMPRODUCT(--(TRIM(IFERROR(_xlfn.TEXTSPLIT(_xlfn.TEXTJOIN(",",TRUE,Sheet2!$C$2:$C$1006),","),""))=A97))&gt;0,"Yes","No")</f>
        <v>Yes</v>
      </c>
      <c r="C97" cm="1">
        <f t="array" ref="C97">SUMPRODUCT(--(TRIM(IFERROR(_xlfn.TEXTSPLIT(_xlfn.TEXTJOIN(",",TRUE,Sheet2!$C$2:$C$1006),","),""))=A97))</f>
        <v>1</v>
      </c>
    </row>
    <row r="98" spans="1:3" x14ac:dyDescent="0.2">
      <c r="A98" t="s">
        <v>227</v>
      </c>
      <c r="B98" t="str" cm="1">
        <f t="array" ref="B98">IF(SUMPRODUCT(--(TRIM(IFERROR(_xlfn.TEXTSPLIT(_xlfn.TEXTJOIN(",",TRUE,Sheet2!$C$2:$C$1006),","),""))=A98))&gt;0,"Yes","No")</f>
        <v>Yes</v>
      </c>
      <c r="C98" cm="1">
        <f t="array" ref="C98">SUMPRODUCT(--(TRIM(IFERROR(_xlfn.TEXTSPLIT(_xlfn.TEXTJOIN(",",TRUE,Sheet2!$C$2:$C$1006),","),""))=A98))</f>
        <v>1</v>
      </c>
    </row>
    <row r="99" spans="1:3" x14ac:dyDescent="0.2">
      <c r="A99" t="s">
        <v>229</v>
      </c>
      <c r="B99" t="str" cm="1">
        <f t="array" ref="B99">IF(SUMPRODUCT(--(TRIM(IFERROR(_xlfn.TEXTSPLIT(_xlfn.TEXTJOIN(",",TRUE,Sheet2!$C$2:$C$1006),","),""))=A99))&gt;0,"Yes","No")</f>
        <v>Yes</v>
      </c>
      <c r="C99" cm="1">
        <f t="array" ref="C99">SUMPRODUCT(--(TRIM(IFERROR(_xlfn.TEXTSPLIT(_xlfn.TEXTJOIN(",",TRUE,Sheet2!$C$2:$C$1006),","),""))=A99))</f>
        <v>1</v>
      </c>
    </row>
    <row r="100" spans="1:3" x14ac:dyDescent="0.2">
      <c r="A100" t="s">
        <v>231</v>
      </c>
      <c r="B100" t="str" cm="1">
        <f t="array" ref="B100">IF(SUMPRODUCT(--(TRIM(IFERROR(_xlfn.TEXTSPLIT(_xlfn.TEXTJOIN(",",TRUE,Sheet2!$C$2:$C$1006),","),""))=A100))&gt;0,"Yes","No")</f>
        <v>Yes</v>
      </c>
      <c r="C100" cm="1">
        <f t="array" ref="C100">SUMPRODUCT(--(TRIM(IFERROR(_xlfn.TEXTSPLIT(_xlfn.TEXTJOIN(",",TRUE,Sheet2!$C$2:$C$1006),","),""))=A100))</f>
        <v>1</v>
      </c>
    </row>
    <row r="101" spans="1:3" x14ac:dyDescent="0.2">
      <c r="A101" t="s">
        <v>234</v>
      </c>
      <c r="B101" t="str" cm="1">
        <f t="array" ref="B101">IF(SUMPRODUCT(--(TRIM(IFERROR(_xlfn.TEXTSPLIT(_xlfn.TEXTJOIN(",",TRUE,Sheet2!$C$2:$C$1006),","),""))=A101))&gt;0,"Yes","No")</f>
        <v>Yes</v>
      </c>
      <c r="C101" cm="1">
        <f t="array" ref="C101">SUMPRODUCT(--(TRIM(IFERROR(_xlfn.TEXTSPLIT(_xlfn.TEXTJOIN(",",TRUE,Sheet2!$C$2:$C$1006),","),""))=A101))</f>
        <v>1</v>
      </c>
    </row>
    <row r="102" spans="1:3" x14ac:dyDescent="0.2">
      <c r="A102" t="s">
        <v>235</v>
      </c>
      <c r="B102" t="str" cm="1">
        <f t="array" ref="B102">IF(SUMPRODUCT(--(TRIM(IFERROR(_xlfn.TEXTSPLIT(_xlfn.TEXTJOIN(",",TRUE,Sheet2!$C$2:$C$1006),","),""))=A102))&gt;0,"Yes","No")</f>
        <v>Yes</v>
      </c>
      <c r="C102" cm="1">
        <f t="array" ref="C102">SUMPRODUCT(--(TRIM(IFERROR(_xlfn.TEXTSPLIT(_xlfn.TEXTJOIN(",",TRUE,Sheet2!$C$2:$C$1006),","),""))=A102))</f>
        <v>1</v>
      </c>
    </row>
    <row r="103" spans="1:3" x14ac:dyDescent="0.2">
      <c r="A103" t="s">
        <v>239</v>
      </c>
      <c r="B103" t="str" cm="1">
        <f t="array" ref="B103">IF(SUMPRODUCT(--(TRIM(IFERROR(_xlfn.TEXTSPLIT(_xlfn.TEXTJOIN(",",TRUE,Sheet2!$C$2:$C$1006),","),""))=A103))&gt;0,"Yes","No")</f>
        <v>Yes</v>
      </c>
      <c r="C103" cm="1">
        <f t="array" ref="C103">SUMPRODUCT(--(TRIM(IFERROR(_xlfn.TEXTSPLIT(_xlfn.TEXTJOIN(",",TRUE,Sheet2!$C$2:$C$1006),","),""))=A103))</f>
        <v>1</v>
      </c>
    </row>
    <row r="104" spans="1:3" x14ac:dyDescent="0.2">
      <c r="A104" t="s">
        <v>241</v>
      </c>
      <c r="B104" t="str" cm="1">
        <f t="array" ref="B104">IF(SUMPRODUCT(--(TRIM(IFERROR(_xlfn.TEXTSPLIT(_xlfn.TEXTJOIN(",",TRUE,Sheet2!$C$2:$C$1006),","),""))=A104))&gt;0,"Yes","No")</f>
        <v>Yes</v>
      </c>
      <c r="C104" cm="1">
        <f t="array" ref="C104">SUMPRODUCT(--(TRIM(IFERROR(_xlfn.TEXTSPLIT(_xlfn.TEXTJOIN(",",TRUE,Sheet2!$C$2:$C$1006),","),""))=A104))</f>
        <v>1</v>
      </c>
    </row>
    <row r="105" spans="1:3" x14ac:dyDescent="0.2">
      <c r="A105" t="s">
        <v>242</v>
      </c>
      <c r="B105" t="str" cm="1">
        <f t="array" ref="B105">IF(SUMPRODUCT(--(TRIM(IFERROR(_xlfn.TEXTSPLIT(_xlfn.TEXTJOIN(",",TRUE,Sheet2!$C$2:$C$1006),","),""))=A105))&gt;0,"Yes","No")</f>
        <v>Yes</v>
      </c>
      <c r="C105" cm="1">
        <f t="array" ref="C105">SUMPRODUCT(--(TRIM(IFERROR(_xlfn.TEXTSPLIT(_xlfn.TEXTJOIN(",",TRUE,Sheet2!$C$2:$C$1006),","),""))=A105))</f>
        <v>1</v>
      </c>
    </row>
    <row r="106" spans="1:3" x14ac:dyDescent="0.2">
      <c r="A106" t="s">
        <v>243</v>
      </c>
      <c r="B106" t="str" cm="1">
        <f t="array" ref="B106">IF(SUMPRODUCT(--(TRIM(IFERROR(_xlfn.TEXTSPLIT(_xlfn.TEXTJOIN(",",TRUE,Sheet2!$C$2:$C$1006),","),""))=A106))&gt;0,"Yes","No")</f>
        <v>Yes</v>
      </c>
      <c r="C106" cm="1">
        <f t="array" ref="C106">SUMPRODUCT(--(TRIM(IFERROR(_xlfn.TEXTSPLIT(_xlfn.TEXTJOIN(",",TRUE,Sheet2!$C$2:$C$1006),","),""))=A106))</f>
        <v>1</v>
      </c>
    </row>
    <row r="107" spans="1:3" x14ac:dyDescent="0.2">
      <c r="A107" t="s">
        <v>245</v>
      </c>
      <c r="B107" t="str" cm="1">
        <f t="array" ref="B107">IF(SUMPRODUCT(--(TRIM(IFERROR(_xlfn.TEXTSPLIT(_xlfn.TEXTJOIN(",",TRUE,Sheet2!$C$2:$C$1006),","),""))=A107))&gt;0,"Yes","No")</f>
        <v>Yes</v>
      </c>
      <c r="C107" cm="1">
        <f t="array" ref="C107">SUMPRODUCT(--(TRIM(IFERROR(_xlfn.TEXTSPLIT(_xlfn.TEXTJOIN(",",TRUE,Sheet2!$C$2:$C$1006),","),""))=A107))</f>
        <v>1</v>
      </c>
    </row>
    <row r="108" spans="1:3" x14ac:dyDescent="0.2">
      <c r="A108" t="s">
        <v>246</v>
      </c>
      <c r="B108" t="str" cm="1">
        <f t="array" ref="B108">IF(SUMPRODUCT(--(TRIM(IFERROR(_xlfn.TEXTSPLIT(_xlfn.TEXTJOIN(",",TRUE,Sheet2!$C$2:$C$1006),","),""))=A108))&gt;0,"Yes","No")</f>
        <v>Yes</v>
      </c>
      <c r="C108" cm="1">
        <f t="array" ref="C108">SUMPRODUCT(--(TRIM(IFERROR(_xlfn.TEXTSPLIT(_xlfn.TEXTJOIN(",",TRUE,Sheet2!$C$2:$C$1006),","),""))=A108))</f>
        <v>1</v>
      </c>
    </row>
    <row r="109" spans="1:3" x14ac:dyDescent="0.2">
      <c r="A109" t="s">
        <v>247</v>
      </c>
      <c r="B109" t="str" cm="1">
        <f t="array" ref="B109">IF(SUMPRODUCT(--(TRIM(IFERROR(_xlfn.TEXTSPLIT(_xlfn.TEXTJOIN(",",TRUE,Sheet2!$C$2:$C$1006),","),""))=A109))&gt;0,"Yes","No")</f>
        <v>Yes</v>
      </c>
      <c r="C109" cm="1">
        <f t="array" ref="C109">SUMPRODUCT(--(TRIM(IFERROR(_xlfn.TEXTSPLIT(_xlfn.TEXTJOIN(",",TRUE,Sheet2!$C$2:$C$1006),","),""))=A109))</f>
        <v>1</v>
      </c>
    </row>
    <row r="110" spans="1:3" x14ac:dyDescent="0.2">
      <c r="A110" t="s">
        <v>248</v>
      </c>
      <c r="B110" t="str" cm="1">
        <f t="array" ref="B110">IF(SUMPRODUCT(--(TRIM(IFERROR(_xlfn.TEXTSPLIT(_xlfn.TEXTJOIN(",",TRUE,Sheet2!$C$2:$C$1006),","),""))=A110))&gt;0,"Yes","No")</f>
        <v>Yes</v>
      </c>
      <c r="C110" cm="1">
        <f t="array" ref="C110">SUMPRODUCT(--(TRIM(IFERROR(_xlfn.TEXTSPLIT(_xlfn.TEXTJOIN(",",TRUE,Sheet2!$C$2:$C$1006),","),""))=A110))</f>
        <v>1</v>
      </c>
    </row>
    <row r="111" spans="1:3" x14ac:dyDescent="0.2">
      <c r="A111" t="s">
        <v>249</v>
      </c>
      <c r="B111" t="str" cm="1">
        <f t="array" ref="B111">IF(SUMPRODUCT(--(TRIM(IFERROR(_xlfn.TEXTSPLIT(_xlfn.TEXTJOIN(",",TRUE,Sheet2!$C$2:$C$1006),","),""))=A111))&gt;0,"Yes","No")</f>
        <v>Yes</v>
      </c>
      <c r="C111" cm="1">
        <f t="array" ref="C111">SUMPRODUCT(--(TRIM(IFERROR(_xlfn.TEXTSPLIT(_xlfn.TEXTJOIN(",",TRUE,Sheet2!$C$2:$C$1006),","),""))=A111))</f>
        <v>1</v>
      </c>
    </row>
    <row r="112" spans="1:3" x14ac:dyDescent="0.2">
      <c r="A112" t="s">
        <v>250</v>
      </c>
      <c r="B112" t="str" cm="1">
        <f t="array" ref="B112">IF(SUMPRODUCT(--(TRIM(IFERROR(_xlfn.TEXTSPLIT(_xlfn.TEXTJOIN(",",TRUE,Sheet2!$C$2:$C$1006),","),""))=A112))&gt;0,"Yes","No")</f>
        <v>Yes</v>
      </c>
      <c r="C112" cm="1">
        <f t="array" ref="C112">SUMPRODUCT(--(TRIM(IFERROR(_xlfn.TEXTSPLIT(_xlfn.TEXTJOIN(",",TRUE,Sheet2!$C$2:$C$1006),","),""))=A112))</f>
        <v>1</v>
      </c>
    </row>
    <row r="113" spans="1:3" x14ac:dyDescent="0.2">
      <c r="A113" t="s">
        <v>252</v>
      </c>
      <c r="B113" t="str" cm="1">
        <f t="array" ref="B113">IF(SUMPRODUCT(--(TRIM(IFERROR(_xlfn.TEXTSPLIT(_xlfn.TEXTJOIN(",",TRUE,Sheet2!$C$2:$C$1006),","),""))=A113))&gt;0,"Yes","No")</f>
        <v>Yes</v>
      </c>
      <c r="C113" cm="1">
        <f t="array" ref="C113">SUMPRODUCT(--(TRIM(IFERROR(_xlfn.TEXTSPLIT(_xlfn.TEXTJOIN(",",TRUE,Sheet2!$C$2:$C$1006),","),""))=A113))</f>
        <v>1</v>
      </c>
    </row>
    <row r="114" spans="1:3" x14ac:dyDescent="0.2">
      <c r="A114" t="s">
        <v>253</v>
      </c>
      <c r="B114" t="str" cm="1">
        <f t="array" ref="B114">IF(SUMPRODUCT(--(TRIM(IFERROR(_xlfn.TEXTSPLIT(_xlfn.TEXTJOIN(",",TRUE,Sheet2!$C$2:$C$1006),","),""))=A114))&gt;0,"Yes","No")</f>
        <v>Yes</v>
      </c>
      <c r="C114" cm="1">
        <f t="array" ref="C114">SUMPRODUCT(--(TRIM(IFERROR(_xlfn.TEXTSPLIT(_xlfn.TEXTJOIN(",",TRUE,Sheet2!$C$2:$C$1006),","),""))=A114))</f>
        <v>1</v>
      </c>
    </row>
    <row r="115" spans="1:3" x14ac:dyDescent="0.2">
      <c r="A115" t="s">
        <v>254</v>
      </c>
      <c r="B115" t="str" cm="1">
        <f t="array" ref="B115">IF(SUMPRODUCT(--(TRIM(IFERROR(_xlfn.TEXTSPLIT(_xlfn.TEXTJOIN(",",TRUE,Sheet2!$C$2:$C$1006),","),""))=A115))&gt;0,"Yes","No")</f>
        <v>Yes</v>
      </c>
      <c r="C115" cm="1">
        <f t="array" ref="C115">SUMPRODUCT(--(TRIM(IFERROR(_xlfn.TEXTSPLIT(_xlfn.TEXTJOIN(",",TRUE,Sheet2!$C$2:$C$1006),","),""))=A115))</f>
        <v>1</v>
      </c>
    </row>
    <row r="116" spans="1:3" x14ac:dyDescent="0.2">
      <c r="A116" t="s">
        <v>255</v>
      </c>
      <c r="B116" t="str" cm="1">
        <f t="array" ref="B116">IF(SUMPRODUCT(--(TRIM(IFERROR(_xlfn.TEXTSPLIT(_xlfn.TEXTJOIN(",",TRUE,Sheet2!$C$2:$C$1006),","),""))=A116))&gt;0,"Yes","No")</f>
        <v>Yes</v>
      </c>
      <c r="C116" cm="1">
        <f t="array" ref="C116">SUMPRODUCT(--(TRIM(IFERROR(_xlfn.TEXTSPLIT(_xlfn.TEXTJOIN(",",TRUE,Sheet2!$C$2:$C$1006),","),""))=A116))</f>
        <v>1</v>
      </c>
    </row>
    <row r="117" spans="1:3" x14ac:dyDescent="0.2">
      <c r="A117" t="s">
        <v>259</v>
      </c>
      <c r="B117" t="str" cm="1">
        <f t="array" ref="B117">IF(SUMPRODUCT(--(TRIM(IFERROR(_xlfn.TEXTSPLIT(_xlfn.TEXTJOIN(",",TRUE,Sheet2!$C$2:$C$1006),","),""))=A117))&gt;0,"Yes","No")</f>
        <v>Yes</v>
      </c>
      <c r="C117" cm="1">
        <f t="array" ref="C117">SUMPRODUCT(--(TRIM(IFERROR(_xlfn.TEXTSPLIT(_xlfn.TEXTJOIN(",",TRUE,Sheet2!$C$2:$C$1006),","),""))=A117))</f>
        <v>1</v>
      </c>
    </row>
    <row r="118" spans="1:3" x14ac:dyDescent="0.2">
      <c r="A118" t="s">
        <v>261</v>
      </c>
      <c r="B118" t="str" cm="1">
        <f t="array" ref="B118">IF(SUMPRODUCT(--(TRIM(IFERROR(_xlfn.TEXTSPLIT(_xlfn.TEXTJOIN(",",TRUE,Sheet2!$C$2:$C$1006),","),""))=A118))&gt;0,"Yes","No")</f>
        <v>Yes</v>
      </c>
      <c r="C118" cm="1">
        <f t="array" ref="C118">SUMPRODUCT(--(TRIM(IFERROR(_xlfn.TEXTSPLIT(_xlfn.TEXTJOIN(",",TRUE,Sheet2!$C$2:$C$1006),","),""))=A118))</f>
        <v>1</v>
      </c>
    </row>
    <row r="119" spans="1:3" x14ac:dyDescent="0.2">
      <c r="A119" t="s">
        <v>262</v>
      </c>
      <c r="B119" t="str" cm="1">
        <f t="array" ref="B119">IF(SUMPRODUCT(--(TRIM(IFERROR(_xlfn.TEXTSPLIT(_xlfn.TEXTJOIN(",",TRUE,Sheet2!$C$2:$C$1006),","),""))=A119))&gt;0,"Yes","No")</f>
        <v>Yes</v>
      </c>
      <c r="C119" cm="1">
        <f t="array" ref="C119">SUMPRODUCT(--(TRIM(IFERROR(_xlfn.TEXTSPLIT(_xlfn.TEXTJOIN(",",TRUE,Sheet2!$C$2:$C$1006),","),""))=A119))</f>
        <v>1</v>
      </c>
    </row>
    <row r="120" spans="1:3" x14ac:dyDescent="0.2">
      <c r="A120" t="s">
        <v>263</v>
      </c>
      <c r="B120" t="str" cm="1">
        <f t="array" ref="B120">IF(SUMPRODUCT(--(TRIM(IFERROR(_xlfn.TEXTSPLIT(_xlfn.TEXTJOIN(",",TRUE,Sheet2!$C$2:$C$1006),","),""))=A120))&gt;0,"Yes","No")</f>
        <v>Yes</v>
      </c>
      <c r="C120" cm="1">
        <f t="array" ref="C120">SUMPRODUCT(--(TRIM(IFERROR(_xlfn.TEXTSPLIT(_xlfn.TEXTJOIN(",",TRUE,Sheet2!$C$2:$C$1006),","),""))=A120))</f>
        <v>1</v>
      </c>
    </row>
    <row r="121" spans="1:3" x14ac:dyDescent="0.2">
      <c r="A121" t="s">
        <v>265</v>
      </c>
      <c r="B121" t="str" cm="1">
        <f t="array" ref="B121">IF(SUMPRODUCT(--(TRIM(IFERROR(_xlfn.TEXTSPLIT(_xlfn.TEXTJOIN(",",TRUE,Sheet2!$C$2:$C$1006),","),""))=A121))&gt;0,"Yes","No")</f>
        <v>Yes</v>
      </c>
      <c r="C121" cm="1">
        <f t="array" ref="C121">SUMPRODUCT(--(TRIM(IFERROR(_xlfn.TEXTSPLIT(_xlfn.TEXTJOIN(",",TRUE,Sheet2!$C$2:$C$1006),","),""))=A121))</f>
        <v>1</v>
      </c>
    </row>
    <row r="122" spans="1:3" x14ac:dyDescent="0.2">
      <c r="A122" t="s">
        <v>266</v>
      </c>
      <c r="B122" t="str" cm="1">
        <f t="array" ref="B122">IF(SUMPRODUCT(--(TRIM(IFERROR(_xlfn.TEXTSPLIT(_xlfn.TEXTJOIN(",",TRUE,Sheet2!$C$2:$C$1006),","),""))=A122))&gt;0,"Yes","No")</f>
        <v>Yes</v>
      </c>
      <c r="C122" cm="1">
        <f t="array" ref="C122">SUMPRODUCT(--(TRIM(IFERROR(_xlfn.TEXTSPLIT(_xlfn.TEXTJOIN(",",TRUE,Sheet2!$C$2:$C$1006),","),""))=A122))</f>
        <v>1</v>
      </c>
    </row>
    <row r="123" spans="1:3" x14ac:dyDescent="0.2">
      <c r="A123" t="s">
        <v>268</v>
      </c>
      <c r="B123" t="str" cm="1">
        <f t="array" ref="B123">IF(SUMPRODUCT(--(TRIM(IFERROR(_xlfn.TEXTSPLIT(_xlfn.TEXTJOIN(",",TRUE,Sheet2!$C$2:$C$1006),","),""))=A123))&gt;0,"Yes","No")</f>
        <v>Yes</v>
      </c>
      <c r="C123" cm="1">
        <f t="array" ref="C123">SUMPRODUCT(--(TRIM(IFERROR(_xlfn.TEXTSPLIT(_xlfn.TEXTJOIN(",",TRUE,Sheet2!$C$2:$C$1006),","),""))=A123))</f>
        <v>1</v>
      </c>
    </row>
    <row r="124" spans="1:3" x14ac:dyDescent="0.2">
      <c r="A124" t="s">
        <v>269</v>
      </c>
      <c r="B124" t="str" cm="1">
        <f t="array" ref="B124">IF(SUMPRODUCT(--(TRIM(IFERROR(_xlfn.TEXTSPLIT(_xlfn.TEXTJOIN(",",TRUE,Sheet2!$C$2:$C$1006),","),""))=A124))&gt;0,"Yes","No")</f>
        <v>Yes</v>
      </c>
      <c r="C124" cm="1">
        <f t="array" ref="C124">SUMPRODUCT(--(TRIM(IFERROR(_xlfn.TEXTSPLIT(_xlfn.TEXTJOIN(",",TRUE,Sheet2!$C$2:$C$1006),","),""))=A124))</f>
        <v>1</v>
      </c>
    </row>
    <row r="125" spans="1:3" x14ac:dyDescent="0.2">
      <c r="A125" t="s">
        <v>270</v>
      </c>
      <c r="B125" t="str" cm="1">
        <f t="array" ref="B125">IF(SUMPRODUCT(--(TRIM(IFERROR(_xlfn.TEXTSPLIT(_xlfn.TEXTJOIN(",",TRUE,Sheet2!$C$2:$C$1006),","),""))=A125))&gt;0,"Yes","No")</f>
        <v>Yes</v>
      </c>
      <c r="C125" cm="1">
        <f t="array" ref="C125">SUMPRODUCT(--(TRIM(IFERROR(_xlfn.TEXTSPLIT(_xlfn.TEXTJOIN(",",TRUE,Sheet2!$C$2:$C$1006),","),""))=A125))</f>
        <v>1</v>
      </c>
    </row>
    <row r="126" spans="1:3" x14ac:dyDescent="0.2">
      <c r="A126" t="s">
        <v>271</v>
      </c>
      <c r="B126" t="str" cm="1">
        <f t="array" ref="B126">IF(SUMPRODUCT(--(TRIM(IFERROR(_xlfn.TEXTSPLIT(_xlfn.TEXTJOIN(",",TRUE,Sheet2!$C$2:$C$1006),","),""))=A126))&gt;0,"Yes","No")</f>
        <v>Yes</v>
      </c>
      <c r="C126" cm="1">
        <f t="array" ref="C126">SUMPRODUCT(--(TRIM(IFERROR(_xlfn.TEXTSPLIT(_xlfn.TEXTJOIN(",",TRUE,Sheet2!$C$2:$C$1006),","),""))=A126))</f>
        <v>1</v>
      </c>
    </row>
    <row r="127" spans="1:3" x14ac:dyDescent="0.2">
      <c r="A127" t="s">
        <v>273</v>
      </c>
      <c r="B127" t="str" cm="1">
        <f t="array" ref="B127">IF(SUMPRODUCT(--(TRIM(IFERROR(_xlfn.TEXTSPLIT(_xlfn.TEXTJOIN(",",TRUE,Sheet2!$C$2:$C$1006),","),""))=A127))&gt;0,"Yes","No")</f>
        <v>Yes</v>
      </c>
      <c r="C127" cm="1">
        <f t="array" ref="C127">SUMPRODUCT(--(TRIM(IFERROR(_xlfn.TEXTSPLIT(_xlfn.TEXTJOIN(",",TRUE,Sheet2!$C$2:$C$1006),","),""))=A127))</f>
        <v>1</v>
      </c>
    </row>
    <row r="128" spans="1:3" x14ac:dyDescent="0.2">
      <c r="A128" t="s">
        <v>275</v>
      </c>
      <c r="B128" t="str" cm="1">
        <f t="array" ref="B128">IF(SUMPRODUCT(--(TRIM(IFERROR(_xlfn.TEXTSPLIT(_xlfn.TEXTJOIN(",",TRUE,Sheet2!$C$2:$C$1006),","),""))=A128))&gt;0,"Yes","No")</f>
        <v>Yes</v>
      </c>
      <c r="C128" cm="1">
        <f t="array" ref="C128">SUMPRODUCT(--(TRIM(IFERROR(_xlfn.TEXTSPLIT(_xlfn.TEXTJOIN(",",TRUE,Sheet2!$C$2:$C$1006),","),""))=A128))</f>
        <v>1</v>
      </c>
    </row>
    <row r="129" spans="1:3" x14ac:dyDescent="0.2">
      <c r="A129" t="s">
        <v>280</v>
      </c>
      <c r="B129" t="str" cm="1">
        <f t="array" ref="B129">IF(SUMPRODUCT(--(TRIM(IFERROR(_xlfn.TEXTSPLIT(_xlfn.TEXTJOIN(",",TRUE,Sheet2!$C$2:$C$1006),","),""))=A129))&gt;0,"Yes","No")</f>
        <v>Yes</v>
      </c>
      <c r="C129" cm="1">
        <f t="array" ref="C129">SUMPRODUCT(--(TRIM(IFERROR(_xlfn.TEXTSPLIT(_xlfn.TEXTJOIN(",",TRUE,Sheet2!$C$2:$C$1006),","),""))=A129))</f>
        <v>1</v>
      </c>
    </row>
    <row r="130" spans="1:3" x14ac:dyDescent="0.2">
      <c r="A130" t="s">
        <v>281</v>
      </c>
      <c r="B130" t="str" cm="1">
        <f t="array" ref="B130">IF(SUMPRODUCT(--(TRIM(IFERROR(_xlfn.TEXTSPLIT(_xlfn.TEXTJOIN(",",TRUE,Sheet2!$C$2:$C$1006),","),""))=A130))&gt;0,"Yes","No")</f>
        <v>Yes</v>
      </c>
      <c r="C130" cm="1">
        <f t="array" ref="C130">SUMPRODUCT(--(TRIM(IFERROR(_xlfn.TEXTSPLIT(_xlfn.TEXTJOIN(",",TRUE,Sheet2!$C$2:$C$1006),","),""))=A130))</f>
        <v>1</v>
      </c>
    </row>
    <row r="131" spans="1:3" x14ac:dyDescent="0.2">
      <c r="A131" t="s">
        <v>287</v>
      </c>
      <c r="B131" t="str" cm="1">
        <f t="array" ref="B131">IF(SUMPRODUCT(--(TRIM(IFERROR(_xlfn.TEXTSPLIT(_xlfn.TEXTJOIN(",",TRUE,Sheet2!$C$2:$C$1006),","),""))=A131))&gt;0,"Yes","No")</f>
        <v>Yes</v>
      </c>
      <c r="C131" cm="1">
        <f t="array" ref="C131">SUMPRODUCT(--(TRIM(IFERROR(_xlfn.TEXTSPLIT(_xlfn.TEXTJOIN(",",TRUE,Sheet2!$C$2:$C$1006),","),""))=A131))</f>
        <v>1</v>
      </c>
    </row>
    <row r="132" spans="1:3" x14ac:dyDescent="0.2">
      <c r="A132" t="s">
        <v>289</v>
      </c>
      <c r="B132" t="str" cm="1">
        <f t="array" ref="B132">IF(SUMPRODUCT(--(TRIM(IFERROR(_xlfn.TEXTSPLIT(_xlfn.TEXTJOIN(",",TRUE,Sheet2!$C$2:$C$1006),","),""))=A132))&gt;0,"Yes","No")</f>
        <v>Yes</v>
      </c>
      <c r="C132" cm="1">
        <f t="array" ref="C132">SUMPRODUCT(--(TRIM(IFERROR(_xlfn.TEXTSPLIT(_xlfn.TEXTJOIN(",",TRUE,Sheet2!$C$2:$C$1006),","),""))=A132))</f>
        <v>1</v>
      </c>
    </row>
    <row r="133" spans="1:3" x14ac:dyDescent="0.2">
      <c r="A133" t="s">
        <v>291</v>
      </c>
      <c r="B133" t="str" cm="1">
        <f t="array" ref="B133">IF(SUMPRODUCT(--(TRIM(IFERROR(_xlfn.TEXTSPLIT(_xlfn.TEXTJOIN(",",TRUE,Sheet2!$C$2:$C$1006),","),""))=A133))&gt;0,"Yes","No")</f>
        <v>Yes</v>
      </c>
      <c r="C133" cm="1">
        <f t="array" ref="C133">SUMPRODUCT(--(TRIM(IFERROR(_xlfn.TEXTSPLIT(_xlfn.TEXTJOIN(",",TRUE,Sheet2!$C$2:$C$1006),","),""))=A133))</f>
        <v>1</v>
      </c>
    </row>
    <row r="134" spans="1:3" x14ac:dyDescent="0.2">
      <c r="A134" t="s">
        <v>293</v>
      </c>
      <c r="B134" t="str" cm="1">
        <f t="array" ref="B134">IF(SUMPRODUCT(--(TRIM(IFERROR(_xlfn.TEXTSPLIT(_xlfn.TEXTJOIN(",",TRUE,Sheet2!$C$2:$C$1006),","),""))=A134))&gt;0,"Yes","No")</f>
        <v>Yes</v>
      </c>
      <c r="C134" cm="1">
        <f t="array" ref="C134">SUMPRODUCT(--(TRIM(IFERROR(_xlfn.TEXTSPLIT(_xlfn.TEXTJOIN(",",TRUE,Sheet2!$C$2:$C$1006),","),""))=A134))</f>
        <v>1</v>
      </c>
    </row>
    <row r="135" spans="1:3" x14ac:dyDescent="0.2">
      <c r="A135" t="s">
        <v>295</v>
      </c>
      <c r="B135" t="str" cm="1">
        <f t="array" ref="B135">IF(SUMPRODUCT(--(TRIM(IFERROR(_xlfn.TEXTSPLIT(_xlfn.TEXTJOIN(",",TRUE,Sheet2!$C$2:$C$1006),","),""))=A135))&gt;0,"Yes","No")</f>
        <v>Yes</v>
      </c>
      <c r="C135" cm="1">
        <f t="array" ref="C135">SUMPRODUCT(--(TRIM(IFERROR(_xlfn.TEXTSPLIT(_xlfn.TEXTJOIN(",",TRUE,Sheet2!$C$2:$C$1006),","),""))=A135))</f>
        <v>1</v>
      </c>
    </row>
  </sheetData>
  <conditionalFormatting sqref="B1:B13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B135">
    <cfRule type="colorScale" priority="2">
      <colorScale>
        <cfvo type="formula" val="&quot;   =B7=&quot;&quot;No&quot;&quot; &quot;"/>
        <cfvo type="max"/>
        <color rgb="FFFF0000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Hierarchy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Ben-Ayed, Melek</dc:creator>
  <cp:lastModifiedBy>Ben-Ayed, Melek</cp:lastModifiedBy>
  <dcterms:created xsi:type="dcterms:W3CDTF">2026-04-11T18:49:06Z</dcterms:created>
  <dcterms:modified xsi:type="dcterms:W3CDTF">2026-04-29T04:21:53Z</dcterms:modified>
</cp:coreProperties>
</file>